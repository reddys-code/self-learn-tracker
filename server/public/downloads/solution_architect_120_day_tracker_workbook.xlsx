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3.xml" ContentType="application/vnd.openxmlformats-officedocument.spreadsheetml.comments+xml"/>
  <Override PartName="/xl/worksheets/sheet8.xml" ContentType="application/vnd.openxmlformats-officedocument.spreadsheetml.worksheet+xml"/>
  <Override PartName="/xl/comments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639e5501e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21e79d4d352484f"/>
    <x:sheet xmlns:r="http://schemas.openxmlformats.org/officeDocument/2006/relationships" name="120-Day Tracker" sheetId="2" r:id="R2c5d2faef25449a3"/>
    <x:sheet xmlns:r="http://schemas.openxmlformats.org/officeDocument/2006/relationships" name="Weekly Scorecard" sheetId="3" r:id="R9ad89666b2834352"/>
    <x:sheet xmlns:r="http://schemas.openxmlformats.org/officeDocument/2006/relationships" name="Concepts Tracker" sheetId="4" r:id="R6cbb97f9f8844206"/>
    <x:sheet xmlns:r="http://schemas.openxmlformats.org/officeDocument/2006/relationships" name="Capstone Tracker" sheetId="5" r:id="Rac8f30a58010448b"/>
    <x:sheet xmlns:r="http://schemas.openxmlformats.org/officeDocument/2006/relationships" name="Pivot View" sheetId="6" r:id="R566b742e46ac49d9"/>
    <x:sheet xmlns:r="http://schemas.openxmlformats.org/officeDocument/2006/relationships" name="Overview" sheetId="7" r:id="Rc44d8199ea37452c"/>
    <x:sheet xmlns:r="http://schemas.openxmlformats.org/officeDocument/2006/relationships" name="Detailed Plan" sheetId="8" r:id="Re7fbf840b5a94a67"/>
    <x:sheet xmlns:r="http://schemas.openxmlformats.org/officeDocument/2006/relationships" name="Readiness Scorecard" sheetId="9" r:id="R0b251bcdd4f24e58"/>
    <x:sheet xmlns:r="http://schemas.openxmlformats.org/officeDocument/2006/relationships" name="Sources" sheetId="10" r:id="R053da7caa61f49cc"/>
    <x:sheet xmlns:r="http://schemas.openxmlformats.org/officeDocument/2006/relationships" name="Lists" sheetId="11" r:id="Rb99d0cce30c844ee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5" authorId="0">
      <x:text>
        <x:r>
          <x:t>Change this before you start. Day 1 is designed as a Monday-equivalent.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N3" authorId="0">
      <x:text>
        <x:r>
          <x:t>Status values drive weekly and dashboard progress. Use Done only when evidence is captured.</x:t>
        </x:r>
      </x:text>
    </x:comment>
    <x:comment ref="O3" authorId="0">
      <x:text>
        <x:r>
          <x:t>Enter actual study/build time spent on this day.</x:t>
        </x:r>
      </x:text>
    </x:comment>
    <x:comment ref="T3" authorId="0">
      <x:text>
        <x:r>
          <x:t>Use this for GitHub links, diagram file names, ADR paths, or quick notes.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B4" authorId="0">
      <x:text>
        <x:r>
          <x:t>This plan is intentionally integrated: coding, cloud, frontend, architecture, security, DevOps, observability, and GenAI move together so you build solution-architect readiness, not isolated skills.</x:t>
        </x:r>
      </x:text>
    </x:comment>
  </x:commentList>
</x:comments>
</file>

<file path=xl/comments4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Start Day 1 on a Monday-equivalent for the exact 5h/8h cadence shown in the overview. If your actual start day differs, keep the order but follow weekday/weekend block lengths.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m/d/yy"/>
    <x:numFmt numFmtId="165" formatCode="0.0%"/>
    <x:numFmt numFmtId="166" formatCode="0.0"/>
  </x:numFmts>
  <x:fonts count="15">
    <x:font>
      <x:sz val="11"/>
      <x:color theme="1"/>
      <x:name val="Calibri"/>
      <x:family val="2"/>
      <x:scheme val="minor"/>
    </x:font>
    <x:font>
      <x:b/>
      <x:sz val="16"/>
      <x:color rgb="FFFFFFFF"/>
      <x:name val="Calibri"/>
    </x:font>
    <x:font>
      <x:b/>
      <x:sz val="11"/>
      <x:name val="Calibri"/>
    </x:font>
    <x:font>
      <x:b/>
      <x:sz val="11"/>
      <x:color rgb="FFFFFFFF"/>
      <x:name val="Calibri"/>
    </x:font>
    <x:font>
      <x:b/>
      <x:sz val="14"/>
      <x:color rgb="FFFFFFFF"/>
      <x:name val="Calibri"/>
    </x:font>
    <x:font>
      <x:b/>
      <x:sz val="16"/>
      <x:color rgb="00FFFFFF"/>
      <x:name val="Calibri"/>
    </x:font>
    <x:font>
      <x:i/>
      <x:sz val="10"/>
      <x:color rgb="00C65911"/>
      <x:name val="Calibri"/>
    </x:font>
    <x:font>
      <x:b/>
      <x:sz val="11"/>
      <x:color rgb="00FFFFFF"/>
      <x:name val="Calibri"/>
    </x:font>
    <x:font>
      <x:b/>
      <x:sz val="11"/>
      <x:color rgb="00000000"/>
      <x:name val="Calibri"/>
    </x:font>
    <x:font>
      <x:sz val="10"/>
      <x:color rgb="000000FF"/>
      <x:name val="Calibri"/>
    </x:font>
    <x:font>
      <x:sz val="10"/>
      <x:color rgb="00000000"/>
      <x:name val="Calibri"/>
    </x:font>
    <x:font>
      <x:sz val="10"/>
      <x:color rgb="00666666"/>
      <x:name val="Calibri"/>
    </x:font>
    <x:font>
      <x:b/>
      <x:sz val="15"/>
      <x:color rgb="00000000"/>
      <x:name val="Calibri"/>
    </x:font>
    <x:font>
      <x:sz val="10"/>
      <x:color rgb="00008000"/>
      <x:name val="Calibri"/>
    </x:font>
    <x:font>
      <x:b/>
      <x:sz val="14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A"/>
      </x:patternFill>
    </x:fill>
    <x:fill>
      <x:patternFill patternType="solid">
        <x:fgColor rgb="FFE2F0D9"/>
      </x:patternFill>
    </x:fill>
    <x:fill>
      <x:patternFill patternType="solid">
        <x:fgColor rgb="001F4E78"/>
      </x:patternFill>
    </x:fill>
    <x:fill>
      <x:patternFill patternType="solid">
        <x:fgColor rgb="00D9E2F3"/>
      </x:patternFill>
    </x:fill>
    <x:fill>
      <x:patternFill patternType="solid">
        <x:fgColor rgb="00FFF2CC"/>
      </x:patternFill>
    </x:fill>
    <x:fill>
      <x:patternFill patternType="solid">
        <x:fgColor rgb="00EFF6FF"/>
      </x:patternFill>
    </x:fill>
    <x:fill>
      <x:patternFill patternType="solid">
        <x:fgColor rgb="00E7E6E6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4CCCC"/>
      </x:patternFill>
    </x:fill>
    <x:fill>
      <x:patternFill patternType="solid">
        <x:fgColor rgb="00EADCF8"/>
      </x:patternFill>
    </x:fill>
  </x:fills>
  <x:borders count="13">
    <x:border>
      <x:left/>
      <x:right/>
      <x:top/>
      <x:bottom/>
      <x:diagonal/>
    </x:border>
    <x:border>
      <x:left/>
      <x:right/>
      <x:top/>
      <x:bottom style="thin">
        <x:color rgb="FFD9D9D9"/>
      </x:bottom>
      <x:diagonal/>
    </x:border>
    <x:border>
      <x:left/>
      <x:right/>
      <x:top style="medium">
        <x:color rgb="FF1F4E78"/>
      </x:top>
      <x:bottom style="thin">
        <x:color rgb="FFD9D9D9"/>
      </x:bottom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  <x:border>
      <x:left/>
      <x:right/>
      <x:top style="thin">
        <x:color rgb="00D9D9D9"/>
      </x:top>
      <x:bottom/>
      <x:diagonal/>
    </x:border>
    <x:border>
      <x:left/>
      <x:right style="thin">
        <x:color rgb="00D9D9D9"/>
      </x:right>
      <x:top style="thin">
        <x:color rgb="00D9D9D9"/>
      </x:top>
      <x:bottom/>
      <x:diagonal/>
    </x:border>
    <x:border>
      <x:left/>
      <x:right style="thin">
        <x:color rgb="00D9D9D9"/>
      </x:right>
      <x:top style="thin">
        <x:color rgb="00D9D9D9"/>
      </x:top>
      <x:bottom style="thin">
        <x:color rgb="00D9D9D9"/>
      </x:bottom>
      <x:diagonal/>
    </x:border>
    <x:border>
      <x:left/>
      <x:right/>
      <x:top style="thin">
        <x:color rgb="00D9D9D9"/>
      </x:top>
      <x:bottom style="thin">
        <x:color rgb="00D9D9D9"/>
      </x:bottom>
      <x:diagonal/>
    </x:border>
    <x:border>
      <x:left style="thin">
        <x:color rgb="00D9D9D9"/>
      </x:left>
      <x:right/>
      <x:top/>
      <x:bottom/>
      <x:diagonal/>
    </x:border>
    <x:border>
      <x:left/>
      <x:right style="thin">
        <x:color rgb="00D9D9D9"/>
      </x:right>
      <x:top/>
      <x:bottom/>
      <x:diagonal/>
    </x:border>
    <x:border>
      <x:left style="thin">
        <x:color rgb="00D9D9D9"/>
      </x:left>
      <x:right/>
      <x:top/>
      <x:bottom style="thin">
        <x:color rgb="00D9D9D9"/>
      </x:bottom>
      <x:diagonal/>
    </x:border>
    <x:border>
      <x:left/>
      <x:right style="thin">
        <x:color rgb="00D9D9D9"/>
      </x:right>
      <x:top/>
      <x:bottom style="thin">
        <x:color rgb="00D9D9D9"/>
      </x:bottom>
      <x:diagonal/>
    </x:border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3" fillId="2" borderId="0" xfId="0" applyAlignment="1">
      <x:alignment horizontal="center" vertical="center" wrapText="1"/>
    </x:xf>
    <x:xf numFmtId="0" fontId="0" fillId="4" borderId="1" xfId="0" applyAlignment="1">
      <x:alignment vertical="top" wrapText="1"/>
    </x:xf>
    <x:xf numFmtId="0" fontId="0" fillId="0" borderId="2" xfId="0" applyAlignment="1">
      <x:alignment vertical="top" wrapText="1"/>
    </x:xf>
    <x:xf numFmtId="0" fontId="0" fillId="4" borderId="2" xfId="0" applyAlignment="1">
      <x:alignment vertical="top" wrapText="1"/>
    </x:xf>
    <x:xf numFmtId="0" fontId="0" fillId="0" borderId="1" xfId="0" applyAlignment="1">
      <x:alignment vertical="top" wrapText="1"/>
    </x:xf>
    <x:xf numFmtId="0" fontId="1" fillId="2" borderId="1" xfId="0" applyAlignment="1">
      <x:alignment vertical="top" wrapText="1"/>
    </x:xf>
    <x:xf numFmtId="0" fontId="3" fillId="2" borderId="1" xfId="0" applyAlignment="1">
      <x:alignment vertical="top" wrapText="1"/>
    </x:xf>
    <x:xf numFmtId="0" fontId="4" fillId="2" borderId="0" xfId="0"/>
    <x:xf numFmtId="0" fontId="0" fillId="0" borderId="0" xfId="0"/>
    <x:xf numFmtId="0" fontId="5" fillId="5" borderId="3" xfId="0" applyAlignment="1">
      <x:alignment horizontal="left" vertical="center"/>
    </x:xf>
    <x:xf numFmtId="0" fontId="0" fillId="0" borderId="3" xfId="0"/>
    <x:xf numFmtId="0" fontId="6" fillId="0" borderId="0" xfId="0" applyAlignment="1">
      <x:alignment horizontal="left" vertical="top" wrapText="1"/>
    </x:xf>
    <x:xf numFmtId="0" fontId="7" fillId="5" borderId="3" xfId="0" applyAlignment="1">
      <x:alignment horizontal="left" vertical="center"/>
    </x:xf>
    <x:xf numFmtId="0" fontId="8" fillId="6" borderId="3" xfId="0" applyAlignment="1">
      <x:alignment horizontal="left" vertical="center"/>
    </x:xf>
    <x:xf numFmtId="164" fontId="9" fillId="7" borderId="3" xfId="0" applyAlignment="1">
      <x:alignment horizontal="center" vertical="center"/>
    </x:xf>
    <x:xf numFmtId="0" fontId="10" fillId="8" borderId="3" xfId="0" applyAlignment="1">
      <x:alignment horizontal="left" vertical="top" wrapText="1"/>
    </x:xf>
    <x:xf numFmtId="0" fontId="0" fillId="8" borderId="3" xfId="0"/>
    <x:xf numFmtId="164" fontId="10" fillId="8" borderId="3" xfId="0" applyAlignment="1">
      <x:alignment horizontal="center" vertical="center"/>
    </x:xf>
    <x:xf numFmtId="0" fontId="11" fillId="9" borderId="3" xfId="0" applyAlignment="1">
      <x:alignment horizontal="center" vertical="center"/>
    </x:xf>
    <x:xf numFmtId="0" fontId="7" fillId="5" borderId="3" xfId="0" applyAlignment="1">
      <x:alignment horizontal="center" vertical="center"/>
    </x:xf>
    <x:xf numFmtId="1" fontId="12" fillId="8" borderId="3" xfId="0" applyAlignment="1">
      <x:alignment horizontal="center" vertical="center"/>
    </x:xf>
    <x:xf numFmtId="165" fontId="12" fillId="8" borderId="3" xfId="0" applyAlignment="1">
      <x:alignment horizontal="center" vertical="center"/>
    </x:xf>
    <x:xf numFmtId="166" fontId="12" fillId="8" borderId="3" xfId="0" applyAlignment="1">
      <x:alignment horizontal="center" vertical="center"/>
    </x:xf>
    <x:xf numFmtId="1" fontId="12" fillId="7" borderId="3" xfId="0" applyAlignment="1">
      <x:alignment horizontal="center" vertical="center"/>
    </x:xf>
    <x:xf numFmtId="0" fontId="8" fillId="6" borderId="3" xfId="0" applyAlignment="1">
      <x:alignment horizontal="center" vertical="center" wrapText="1"/>
    </x:xf>
    <x:xf numFmtId="0" fontId="13" fillId="0" borderId="3" xfId="0" applyAlignment="1">
      <x:alignment horizontal="center" vertical="center"/>
    </x:xf>
    <x:xf numFmtId="0" fontId="10" fillId="0" borderId="3" xfId="0" applyAlignment="1">
      <x:alignment horizontal="center" vertical="center"/>
    </x:xf>
    <x:xf numFmtId="165" fontId="10" fillId="0" borderId="3" xfId="0" applyAlignment="1">
      <x:alignment horizontal="center" vertical="center"/>
    </x:xf>
    <x:xf numFmtId="0" fontId="10" fillId="0" borderId="3" xfId="0" applyAlignment="1">
      <x:alignment horizontal="left" vertical="top" wrapText="1"/>
    </x:xf>
    <x:xf numFmtId="0" fontId="13" fillId="0" borderId="3" xfId="0" applyAlignment="1">
      <x:alignment horizontal="left" vertical="center"/>
    </x:xf>
    <x:xf numFmtId="0" fontId="0" fillId="0" borderId="3" xfId="0" applyAlignment="1">
      <x:alignment horizontal="center" vertical="center"/>
    </x:xf>
    <x:xf numFmtId="0" fontId="0" fillId="0" borderId="3" xfId="0" applyAlignment="1">
      <x:alignment horizontal="left" vertical="top" wrapText="1"/>
    </x:xf>
    <x:xf numFmtId="165" fontId="0" fillId="0" borderId="3" xfId="0" applyAlignment="1">
      <x:alignment horizontal="center" vertical="center"/>
    </x:xf>
    <x:xf numFmtId="166" fontId="0" fillId="0" borderId="3" xfId="0" applyAlignment="1">
      <x:alignment horizontal="center" vertical="center"/>
    </x:xf>
    <x:xf numFmtId="0" fontId="8" fillId="0" borderId="3" xfId="0" applyAlignment="1">
      <x:alignment horizontal="left" vertical="top" wrapText="1"/>
    </x:xf>
    <x:xf numFmtId="166" fontId="14" fillId="7" borderId="3" xfId="0" applyAlignment="1">
      <x:alignment horizontal="center" vertical="center"/>
    </x:xf>
    <x:xf numFmtId="0" fontId="0" fillId="7" borderId="3" xfId="0"/>
    <x:xf numFmtId="0" fontId="6" fillId="0" borderId="0" xfId="0"/>
    <x:xf numFmtId="0" fontId="13" fillId="10" borderId="3" xfId="0" applyAlignment="1">
      <x:alignment horizontal="center" vertical="center"/>
    </x:xf>
    <x:xf numFmtId="0" fontId="13" fillId="11" borderId="3" xfId="0" applyAlignment="1">
      <x:alignment horizontal="left" vertical="top" wrapText="1"/>
    </x:xf>
    <x:xf numFmtId="0" fontId="13" fillId="8" borderId="3" xfId="0" applyAlignment="1">
      <x:alignment horizontal="left" vertical="top" wrapText="1"/>
    </x:xf>
    <x:xf numFmtId="0" fontId="9" fillId="7" borderId="3" xfId="0" applyAlignment="1">
      <x:alignment horizontal="center" vertical="center"/>
    </x:xf>
    <x:xf numFmtId="0" fontId="9" fillId="8" borderId="3" xfId="0" applyAlignment="1">
      <x:alignment horizontal="center" vertical="center"/>
    </x:xf>
    <x:xf numFmtId="165" fontId="10" fillId="8" borderId="3" xfId="0" applyAlignment="1">
      <x:alignment horizontal="center" vertical="center"/>
    </x:xf>
    <x:xf numFmtId="0" fontId="9" fillId="7" borderId="3" xfId="0" applyAlignment="1">
      <x:alignment horizontal="left" vertical="top" wrapText="1"/>
    </x:xf>
    <x:xf numFmtId="0" fontId="9" fillId="8" borderId="3" xfId="0" applyAlignment="1">
      <x:alignment horizontal="left" vertical="top" wrapText="1"/>
    </x:xf>
    <x:xf numFmtId="0" fontId="10" fillId="12" borderId="3" xfId="0" applyAlignment="1">
      <x:alignment horizontal="center" vertical="center"/>
    </x:xf>
    <x:xf numFmtId="164" fontId="9" fillId="8" borderId="3" xfId="0" applyAlignment="1">
      <x:alignment horizontal="center" vertical="center"/>
    </x:xf>
    <x:xf numFmtId="0" fontId="13" fillId="8" borderId="3" xfId="0" applyAlignment="1">
      <x:alignment horizontal="center" vertical="center"/>
    </x:xf>
    <x:xf numFmtId="166" fontId="10" fillId="8" borderId="3" xfId="0" applyAlignment="1">
      <x:alignment horizontal="center" vertical="center"/>
    </x:xf>
    <x:xf numFmtId="0" fontId="10" fillId="8" borderId="3" xfId="0" applyAlignment="1">
      <x:alignment horizontal="center" vertical="center"/>
    </x:xf>
    <x:xf numFmtId="0" fontId="13" fillId="13" borderId="3" xfId="0" applyAlignment="1">
      <x:alignment horizontal="center" vertical="center"/>
    </x:xf>
    <x:xf numFmtId="0" fontId="13" fillId="7" borderId="3" xfId="0" applyAlignment="1">
      <x:alignment horizontal="center" vertical="center"/>
    </x:xf>
    <x:xf numFmtId="0" fontId="0" fillId="0" borderId="1" xfId="0"/>
    <x:xf numFmtId="0" fontId="5" fillId="5" borderId="1" xfId="0" applyAlignment="1">
      <x:alignment horizontal="left" vertical="center"/>
    </x:xf>
    <x:xf numFmtId="0" fontId="8" fillId="11" borderId="3" xfId="0" applyAlignment="1">
      <x:alignment horizontal="center" vertical="center"/>
    </x:xf>
    <x:xf numFmtId="0" fontId="5" fillId="5" borderId="3" xfId="0"/>
    <x:xf numFmtId="0" fontId="8" fillId="6" borderId="3" xfId="0" applyAlignment="1">
      <x:alignment vertical="top" wrapText="1"/>
    </x:xf>
    <x:xf numFmtId="0" fontId="0" fillId="0" borderId="7" xfId="0"/>
    <x:xf numFmtId="0" fontId="0" fillId="0" borderId="6" xfId="0"/>
    <x:xf numFmtId="164" fontId="9" fillId="7" borderId="3" xfId="0" applyAlignment="1">
      <x:alignment horizontal="center" vertical="center"/>
    </x:xf>
    <x:xf numFmtId="164" fontId="10" fillId="8" borderId="3" xfId="0" applyAlignment="1">
      <x:alignment horizontal="center" vertical="center"/>
    </x:xf>
    <x:xf numFmtId="0" fontId="0" fillId="0" borderId="5" xfId="0"/>
    <x:xf numFmtId="165" fontId="12" fillId="8" borderId="3" xfId="0" applyAlignment="1">
      <x:alignment horizontal="center" vertical="center"/>
    </x:xf>
    <x:xf numFmtId="166" fontId="12" fillId="8" borderId="3" xfId="0" applyAlignment="1">
      <x:alignment horizontal="center" vertical="center"/>
    </x:xf>
    <x:xf numFmtId="0" fontId="0" fillId="0" borderId="10" xfId="0"/>
    <x:xf numFmtId="0" fontId="0" fillId="0" borderId="11" xfId="0"/>
    <x:xf numFmtId="165" fontId="10" fillId="0" borderId="3" xfId="0" applyAlignment="1">
      <x:alignment horizontal="center" vertical="center"/>
    </x:xf>
    <x:xf numFmtId="166" fontId="10" fillId="0" borderId="3" xfId="0" applyAlignment="1">
      <x:alignment horizontal="center" vertical="center"/>
    </x:xf>
    <x:xf numFmtId="166" fontId="14" fillId="7" borderId="3" xfId="0" applyAlignment="1">
      <x:alignment horizontal="center" vertical="center"/>
    </x:xf>
    <x:xf numFmtId="165" fontId="10" fillId="8" borderId="3" xfId="0" applyAlignment="1">
      <x:alignment horizontal="center" vertical="center"/>
    </x:xf>
    <x:xf numFmtId="164" fontId="9" fillId="8" borderId="3" xfId="0" applyAlignment="1">
      <x:alignment horizontal="center" vertical="center"/>
    </x:xf>
    <x:xf numFmtId="166" fontId="10" fillId="8" borderId="3" xfId="0" applyAlignment="1">
      <x:alignment horizontal="center" vertical="center"/>
    </x:xf>
    <x:xf numFmtId="165" fontId="0" fillId="0" borderId="3" xfId="0" applyAlignment="1">
      <x:alignment horizontal="center" vertical="center"/>
    </x:xf>
    <x:xf numFmtId="0" fontId="0" fillId="0" borderId="12" xfId="0"/>
  </x:cellXfs>
  <x:cellStyles count="1">
    <x:cellStyle name="Normal" xfId="0"/>
  </x:cellStyles>
  <x:dxfs count="3">
    <x:dxf>
      <x:fill>
        <x:patternFill>
          <x:bgColor rgb="00E2F0D9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3491398bf41ad" /><Relationship Type="http://schemas.openxmlformats.org/officeDocument/2006/relationships/theme" Target="/xl/theme/theme1.xml" Id="Rc8d7a74371a54bf2" /><Relationship Type="http://schemas.openxmlformats.org/officeDocument/2006/relationships/sharedStrings" Target="/xl/sharedStrings.xml" Id="R9459fd7d005e4a62" /><Relationship Type="http://schemas.openxmlformats.org/officeDocument/2006/relationships/worksheet" Target="/xl/worksheets/sheet1.xml" Id="R821e79d4d352484f" /><Relationship Type="http://schemas.openxmlformats.org/officeDocument/2006/relationships/worksheet" Target="/xl/worksheets/sheet2.xml" Id="R2c5d2faef25449a3" /><Relationship Type="http://schemas.openxmlformats.org/officeDocument/2006/relationships/worksheet" Target="/xl/worksheets/sheet3.xml" Id="R9ad89666b2834352" /><Relationship Type="http://schemas.openxmlformats.org/officeDocument/2006/relationships/worksheet" Target="/xl/worksheets/sheet4.xml" Id="R6cbb97f9f8844206" /><Relationship Type="http://schemas.openxmlformats.org/officeDocument/2006/relationships/worksheet" Target="/xl/worksheets/sheet5.xml" Id="Rac8f30a58010448b" /><Relationship Type="http://schemas.openxmlformats.org/officeDocument/2006/relationships/worksheet" Target="/xl/worksheets/sheet6.xml" Id="R566b742e46ac49d9" /><Relationship Type="http://schemas.openxmlformats.org/officeDocument/2006/relationships/worksheet" Target="/xl/worksheets/sheet7.xml" Id="Rc44d8199ea37452c" /><Relationship Type="http://schemas.openxmlformats.org/officeDocument/2006/relationships/worksheet" Target="/xl/worksheets/sheet8.xml" Id="Re7fbf840b5a94a67" /><Relationship Type="http://schemas.openxmlformats.org/officeDocument/2006/relationships/worksheet" Target="/xl/worksheets/sheet9.xml" Id="R0b251bcdd4f24e58" /><Relationship Type="http://schemas.openxmlformats.org/officeDocument/2006/relationships/worksheet" Target="/xl/worksheets/sheet10.xml" Id="R053da7caa61f49cc" /><Relationship Type="http://schemas.openxmlformats.org/officeDocument/2006/relationships/worksheet" Target="/xl/worksheets/sheet11.xml" Id="Rb99d0cce30c844ee" /><Relationship Type="http://schemas.microsoft.com/office/2017/10/relationships/person" Target="/xl/persons/person.xml" Id="R699b5f39f9da4e86" /></Relationships>
</file>

<file path=xl/persons/person.xml><?xml version="1.0" encoding="utf-8"?>
<xltc:personList xmlns:xltc="http://schemas.microsoft.com/office/spreadsheetml/2018/threadedcomments">
  <xltc:person displayName="OpenAI" id="{EA44775B-7FA4-5332-24FD-715AD7C4A962}"/>
  <xltc:person displayName="OpenAI" id="{0CA9ECB6-B3A1-500D-1785-B050F843D0FE}"/>
  <xltc:person displayName="OpenAI" id="{0CD37414-E035-4D65-59A2-9829D6BCDEA7}"/>
  <xltc:person displayName="OpenAI" id="{C5AB15FF-8292-A43C-36AC-D39E9533B672}"/>
</xltc:personList>
</file>

<file path=xl/tables/table1.xml><?xml version="1.0" encoding="utf-8"?>
<x:table xmlns:x="http://schemas.openxmlformats.org/spreadsheetml/2006/main" id="1" name="TrackerTable" displayName="TrackerTable" ref="A3:W123" headerRowCount="1">
  <x:autoFilter ref="A3:W123"/>
  <x:tableColumns count="23">
    <x:tableColumn id="1" name="Day"/>
    <x:tableColumn id="2" name="Week"/>
    <x:tableColumn id="3" name="Cycle Day"/>
    <x:tableColumn id="4" name="Day Type"/>
    <x:tableColumn id="5" name="Target Date"/>
    <x:tableColumn id="6" name="Planned Hours"/>
    <x:tableColumn id="7" name="Weekly Theme"/>
    <x:tableColumn id="8" name="DSA Focus"/>
    <x:tableColumn id="9" name="Java / Spring"/>
    <x:tableColumn id="10" name="AWS / DevOps"/>
    <x:tableColumn id="11" name="React / Frontend"/>
    <x:tableColumn id="12" name="Architecture / Design"/>
    <x:tableColumn id="13" name="Primary Deliverable"/>
    <x:tableColumn id="14" name="Status"/>
    <x:tableColumn id="15" name="Actual Hours"/>
    <x:tableColumn id="16" name="Completion %"/>
    <x:tableColumn id="17" name="Confidence (1-5)"/>
    <x:tableColumn id="18" name="Revision Needed"/>
    <x:tableColumn id="19" name="Blocker / Risk"/>
    <x:tableColumn id="20" name="Evidence / Notes"/>
    <x:tableColumn id="21" name="Overdue"/>
    <x:tableColumn id="22" name="Review Date"/>
    <x:tableColumn id="23" name="Next Action"/>
  </x:tableColumns>
  <x:tableStyleInfo name="TableStyleMedium9" showRowStripes="1"/>
</x:table>
</file>

<file path=xl/tables/table2.xml><?xml version="1.0" encoding="utf-8"?>
<x:table xmlns:x="http://schemas.openxmlformats.org/spreadsheetml/2006/main" id="2" name="WeeklyScorecardTable" displayName="WeeklyScorecardTable" ref="A3:P21" headerRowCount="1">
  <x:autoFilter ref="A3:P21"/>
  <x:tableColumns count="16">
    <x:tableColumn id="1" name="Week"/>
    <x:tableColumn id="2" name="Day Range"/>
    <x:tableColumn id="3" name="Phase"/>
    <x:tableColumn id="4" name="Theme"/>
    <x:tableColumn id="5" name="Planned Hours"/>
    <x:tableColumn id="6" name="Actual Hours"/>
    <x:tableColumn id="7" name="Days Planned"/>
    <x:tableColumn id="8" name="Days Done"/>
    <x:tableColumn id="9" name="Completion %"/>
    <x:tableColumn id="10" name="Avg Confidence"/>
    <x:tableColumn id="11" name="Overdue Days"/>
    <x:tableColumn id="12" name="Readiness Score"/>
    <x:tableColumn id="13" name="Key Deliverable"/>
    <x:tableColumn id="14" name="Weekly Review"/>
    <x:tableColumn id="15" name="Biggest Risk"/>
    <x:tableColumn id="16" name="Next Focus"/>
  </x:tableColumns>
  <x:tableStyleInfo name="TableStyleMedium4" showRowStripes="1"/>
</x:table>
</file>

<file path=xl/tables/table3.xml><?xml version="1.0" encoding="utf-8"?>
<x:table xmlns:x="http://schemas.openxmlformats.org/spreadsheetml/2006/main" id="3" name="ConceptsTrackerTable" displayName="ConceptsTrackerTable" ref="A3:N93" headerRowCount="1">
  <x:autoFilter ref="A3:N93"/>
  <x:tableColumns count="14">
    <x:tableColumn id="1" name="Concept ID"/>
    <x:tableColumn id="2" name="Domain"/>
    <x:tableColumn id="3" name="Phase"/>
    <x:tableColumn id="4" name="Week"/>
    <x:tableColumn id="5" name="Day Range"/>
    <x:tableColumn id="6" name="Weekly Theme"/>
    <x:tableColumn id="7" name="Concept Cluster"/>
    <x:tableColumn id="8" name="Mastery Mode"/>
    <x:tableColumn id="9" name="Priority"/>
    <x:tableColumn id="10" name="Status"/>
    <x:tableColumn id="11" name="Confidence"/>
    <x:tableColumn id="12" name="Last Reviewed"/>
    <x:tableColumn id="13" name="Next Review"/>
    <x:tableColumn id="14" name="Evidence / Notes"/>
  </x:tableColumns>
  <x:tableStyleInfo name="TableStyleMedium7" showRowStripes="1"/>
</x:table>
</file>

<file path=xl/tables/table4.xml><?xml version="1.0" encoding="utf-8"?>
<x:table xmlns:x="http://schemas.openxmlformats.org/spreadsheetml/2006/main" id="4" name="CapstoneTrackerTable" displayName="CapstoneTrackerTable" ref="A3:K19" headerRowCount="1">
  <x:autoFilter ref="A3:K19"/>
  <x:tableColumns count="11">
    <x:tableColumn id="1" name="Artifact"/>
    <x:tableColumn id="2" name="Description"/>
    <x:tableColumn id="3" name="Target Day"/>
    <x:tableColumn id="4" name="Target Week"/>
    <x:tableColumn id="5" name="Dependency"/>
    <x:tableColumn id="6" name="Status"/>
    <x:tableColumn id="7" name="Quality Score"/>
    <x:tableColumn id="8" name="Review Date"/>
    <x:tableColumn id="9" name="Evidence / Link"/>
    <x:tableColumn id="10" name="Reviewer Notes"/>
    <x:tableColumn id="11" name="Completion %"/>
  </x:tableColumns>
  <x:tableStyleInfo name="TableStyleMedium5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4ad896a5f884a91" /><Relationship Type="http://schemas.openxmlformats.org/officeDocument/2006/relationships/vmlDrawing" Target="/xl/drawings/vmldrawing.vml" Id="Rf72cea6426e246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329b8ecb07514f6a" /><Relationship Type="http://schemas.openxmlformats.org/officeDocument/2006/relationships/vmlDrawing" Target="/xl/drawings/vmldrawing2.vml" Id="R4e509d416ace4f2b" /><Relationship Type="http://schemas.openxmlformats.org/officeDocument/2006/relationships/table" Target="/xl/tables/table1.xml" Id="R6b0639312df84e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4b1e3bc49841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7d5880c4074f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0be94ee21946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3.xml" Id="R4e88a8e683134430" /><Relationship Type="http://schemas.openxmlformats.org/officeDocument/2006/relationships/vmlDrawing" Target="/xl/drawings/vmldrawing3.vml" Id="R67902e04f62d4d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4.xml" Id="R896decddc61843f5" /><Relationship Type="http://schemas.openxmlformats.org/officeDocument/2006/relationships/vmlDrawing" Target="/xl/drawings/vmldrawing4.vml" Id="R4090ffbfa43d4dba" /></Relationships>
</file>

<file path=xl/worksheets/sheet1.xml><?xml version="1.0" encoding="utf-8"?>
<x:worksheet xmlns:x="http://schemas.openxmlformats.org/spreadsheetml/2006/main">
  <x:sheetPr>
    <x:tabColor rgb="001F4E78"/>
  </x:sheetPr>
  <x:sheetViews>
    <x:sheetView showGridLines="0" workbookViewId="0"/>
  </x:sheetViews>
  <x:sheetFormatPr baseColWidth="8" defaultRowHeight="15"/>
  <x:cols>
    <x:col min="1" max="1" width="14" style="11" customWidth="1"/>
    <x:col min="2" max="2" width="12" style="11" customWidth="1"/>
    <x:col min="3" max="3" width="12" style="11" customWidth="1"/>
    <x:col min="4" max="4" width="22" style="11" customWidth="1"/>
    <x:col min="5" max="5" width="12" style="11" customWidth="1"/>
    <x:col min="6" max="6" width="18" style="11" customWidth="1"/>
    <x:col min="7" max="7" width="18" style="11" customWidth="1"/>
    <x:col min="8" max="8" width="18" style="11" customWidth="1"/>
    <x:col min="9" max="9" width="18" style="11" customWidth="1"/>
    <x:col min="10" max="10" width="20" style="11" customWidth="1"/>
    <x:col min="11" max="11" width="20" style="11" customWidth="1"/>
    <x:col min="12" max="12" width="20" style="11" customWidth="1"/>
  </x:cols>
  <x:sheetData>
    <x:row r="1" s="11" customFormat="1" ht="26" customHeight="1">
      <x:c r="A1" s="12" t="inlineStr">
        <x:is>
          <x:t xml:space="preserve">120-Day Solution Architect Tracker Dashboard</x:t>
        </x:is>
      </x:c>
      <x:c r="B1" s="61" t="n"/>
      <x:c r="C1" s="61" t="n"/>
      <x:c r="D1" s="61" t="n"/>
      <x:c r="E1" s="61" t="n"/>
      <x:c r="F1" s="61" t="n"/>
      <x:c r="G1" s="61" t="n"/>
      <x:c r="H1" s="61" t="n"/>
      <x:c r="I1" s="61" t="n"/>
      <x:c r="J1" s="61" t="n"/>
      <x:c r="K1" s="61" t="n"/>
      <x:c r="L1" s="62" t="n"/>
    </x:row>
    <x:row r="2" s="11" customFormat="1" ht="28" customHeight="1">
      <x:c r="A2" s="14" t="inlineStr">
        <x:is>
          <x:t xml:space="preserve">Central control panel: update the Start Date below, then use the 120-Day Tracker sheet every day and the Weekly Scorecard every weekend.</x:t>
        </x:is>
      </x:c>
    </x:row>
    <x:row r="3" s="11" customFormat="1" ht="22" customHeight="1"/>
    <x:row r="4" s="11" customFormat="1" ht="22" customHeight="1">
      <x:c r="A4" s="15" t="inlineStr">
        <x:is>
          <x:t xml:space="preserve">Controls</x:t>
        </x:is>
      </x:c>
      <x:c r="B4" s="61" t="n"/>
      <x:c r="C4" s="61" t="n"/>
      <x:c r="D4" s="62" t="n"/>
      <x:c r="F4" s="15" t="inlineStr">
        <x:is>
          <x:t xml:space="preserve">How to Use This Workbook</x:t>
        </x:is>
      </x:c>
      <x:c r="G4" s="61" t="n"/>
      <x:c r="H4" s="61" t="n"/>
      <x:c r="I4" s="61" t="n"/>
      <x:c r="J4" s="61" t="n"/>
      <x:c r="K4" s="61" t="n"/>
      <x:c r="L4" s="62" t="n"/>
    </x:row>
    <x:row r="5" s="11" customFormat="1" ht="22" customHeight="1">
      <x:c r="A5" s="16" t="inlineStr">
        <x:is>
          <x:t xml:space="preserve">Start Date</x:t>
        </x:is>
      </x:c>
      <x:c r="B5" s="63" t="n">
        <x:v>46125</x:v>
      </x:c>
      <x:c r="F5" s="18" t="inlineStr">
        <x:is>
          <x:t xml:space="preserve">1) Dashboard: change Start Date and watch KPIs.</x:t>
        </x:is>
      </x:c>
      <x:c r="G5" s="61" t="n"/>
      <x:c r="H5" s="61" t="n"/>
      <x:c r="I5" s="61" t="n"/>
      <x:c r="J5" s="61" t="n"/>
      <x:c r="K5" s="61" t="n"/>
      <x:c r="L5" s="62" t="n"/>
    </x:row>
    <x:row r="6" s="11" customFormat="1" ht="22" customHeight="1">
      <x:c r="A6" s="16" t="inlineStr">
        <x:is>
          <x:t xml:space="preserve">Target End Date</x:t>
        </x:is>
      </x:c>
      <x:c r="B6" s="64">
        <x:f>IF(B5="","",B5+119)</x:f>
        <x:v>46244</x:v>
      </x:c>
      <x:c r="F6" s="18" t="inlineStr">
        <x:is>
          <x:t xml:space="preserve">2) 120-Day Tracker: update Status, Actual Hours, Confidence, Notes.</x:t>
        </x:is>
      </x:c>
      <x:c r="G6" s="61" t="n"/>
      <x:c r="H6" s="61" t="n"/>
      <x:c r="I6" s="61" t="n"/>
      <x:c r="J6" s="61" t="n"/>
      <x:c r="K6" s="61" t="n"/>
      <x:c r="L6" s="62" t="n"/>
    </x:row>
    <x:row r="7" s="11" customFormat="1" ht="22" customHeight="1">
      <x:c r="A7" s="16" t="inlineStr">
        <x:is>
          <x:t xml:space="preserve">Weekday Hours</x:t>
        </x:is>
      </x:c>
      <x:c r="B7" s="21" t="n">
        <x:v>5</x:v>
      </x:c>
      <x:c r="F7" s="18" t="inlineStr">
        <x:is>
          <x:t xml:space="preserve">3) Weekly Scorecard: fill review, risk, and next-focus fields every Sunday.</x:t>
        </x:is>
      </x:c>
      <x:c r="G7" s="61" t="n"/>
      <x:c r="H7" s="61" t="n"/>
      <x:c r="I7" s="61" t="n"/>
      <x:c r="J7" s="61" t="n"/>
      <x:c r="K7" s="61" t="n"/>
      <x:c r="L7" s="62" t="n"/>
    </x:row>
    <x:row r="8" s="11" customFormat="1" ht="22" customHeight="1">
      <x:c r="A8" s="16" t="inlineStr">
        <x:is>
          <x:t xml:space="preserve">Weekend Hours</x:t>
        </x:is>
      </x:c>
      <x:c r="B8" s="21" t="n">
        <x:v>8</x:v>
      </x:c>
      <x:c r="F8" s="18" t="inlineStr">
        <x:is>
          <x:t xml:space="preserve">4) Concepts Tracker: log revision and confidence on the weekly concept clusters.</x:t>
        </x:is>
      </x:c>
      <x:c r="G8" s="61" t="n"/>
      <x:c r="H8" s="61" t="n"/>
      <x:c r="I8" s="61" t="n"/>
      <x:c r="J8" s="61" t="n"/>
      <x:c r="K8" s="61" t="n"/>
      <x:c r="L8" s="62" t="n"/>
    </x:row>
    <x:row r="9" s="11" customFormat="1" ht="22" customHeight="1">
      <x:c r="F9" s="18" t="inlineStr">
        <x:is>
          <x:t xml:space="preserve">5) Capstone Tracker + Readiness Scorecard: use these for portfolio and milestone checks.</x:t>
        </x:is>
      </x:c>
      <x:c r="G9" s="61" t="n"/>
      <x:c r="H9" s="61" t="n"/>
      <x:c r="I9" s="61" t="n"/>
      <x:c r="J9" s="61" t="n"/>
      <x:c r="K9" s="61" t="n"/>
      <x:c r="L9" s="62" t="n"/>
    </x:row>
    <x:row r="10" s="11" customFormat="1" ht="22" customHeight="1"/>
    <x:row r="11" s="11" customFormat="1" ht="22" customHeight="1">
      <x:c r="A11" s="15" t="inlineStr">
        <x:is>
          <x:t xml:space="preserve">Progress Snapshot</x:t>
        </x:is>
      </x:c>
      <x:c r="B11" s="61" t="n"/>
      <x:c r="C11" s="61" t="n"/>
      <x:c r="D11" s="61" t="n"/>
      <x:c r="E11" s="61" t="n"/>
      <x:c r="F11" s="61" t="n"/>
      <x:c r="G11" s="61" t="n"/>
      <x:c r="H11" s="61" t="n"/>
      <x:c r="I11" s="61" t="n"/>
      <x:c r="J11" s="61" t="n"/>
      <x:c r="K11" s="61" t="n"/>
      <x:c r="L11" s="62" t="n"/>
    </x:row>
    <x:row r="12" s="11" customFormat="1" ht="22" customHeight="1">
      <x:c r="A12" s="22" t="inlineStr">
        <x:is>
          <x:t xml:space="preserve">Days Done</x:t>
        </x:is>
      </x:c>
      <x:c r="B12" s="62" t="n"/>
      <x:c r="C12" s="22" t="inlineStr">
        <x:is>
          <x:t xml:space="preserve">Completion %</x:t>
        </x:is>
      </x:c>
      <x:c r="D12" s="62" t="n"/>
      <x:c r="E12" s="22" t="inlineStr">
        <x:is>
          <x:t xml:space="preserve">Actual Hours</x:t>
        </x:is>
      </x:c>
      <x:c r="F12" s="62" t="n"/>
      <x:c r="G12" s="22" t="inlineStr">
        <x:is>
          <x:t xml:space="preserve">Overdue Days</x:t>
        </x:is>
      </x:c>
      <x:c r="H12" s="62" t="n"/>
      <x:c r="I12" s="22" t="inlineStr">
        <x:is>
          <x:t xml:space="preserve">Avg Confidence</x:t>
        </x:is>
      </x:c>
      <x:c r="J12" s="62" t="n"/>
      <x:c r="K12" s="22" t="inlineStr">
        <x:is>
          <x:t xml:space="preserve">Capstone Items Done</x:t>
        </x:is>
      </x:c>
      <x:c r="L12" s="62" t="n"/>
    </x:row>
    <x:row r="13" s="11" customFormat="1" ht="22" customHeight="1">
      <x:c r="A13" s="23">
        <x:f>COUNTIF('120-Day Tracker'!$N$4:$N$123,"Done")</x:f>
        <x:v>0</x:v>
      </x:c>
      <x:c r="B13" s="65" t="n"/>
      <x:c r="C13" s="66">
        <x:f>A13/120</x:f>
        <x:v>0</x:v>
      </x:c>
      <x:c r="D13" s="65" t="n"/>
      <x:c r="E13" s="67">
        <x:f>SUM('120-Day Tracker'!$O$4:$O$123)</x:f>
        <x:v>0</x:v>
      </x:c>
      <x:c r="F13" s="65" t="n"/>
      <x:c r="G13" s="26">
        <x:f>COUNTIF('120-Day Tracker'!$U$4:$U$123,"Overdue")</x:f>
        <x:v>0</x:v>
      </x:c>
      <x:c r="H13" s="65" t="n"/>
      <x:c r="I13" s="67">
        <x:f>IFERROR(AVERAGEIFS('120-Day Tracker'!$Q$4:$Q$123,'120-Day Tracker'!$Q$4:$Q$123,"&gt;0"),0)</x:f>
        <x:v>0</x:v>
      </x:c>
      <x:c r="J13" s="65" t="n"/>
      <x:c r="K13" s="23">
        <x:f>COUNTIF('Capstone Tracker'!$F$4:$F$19,"Done")</x:f>
        <x:v>0</x:v>
      </x:c>
      <x:c r="L13" s="65" t="n"/>
    </x:row>
    <x:row r="14" s="11" customFormat="1" ht="22" customHeight="1">
      <x:c r="A14" s="68" t="n"/>
      <x:c r="B14" s="69" t="n"/>
      <x:c r="C14" s="68" t="n"/>
      <x:c r="D14" s="69" t="n"/>
      <x:c r="E14" s="68" t="n"/>
      <x:c r="F14" s="69" t="n"/>
      <x:c r="G14" s="68" t="n"/>
      <x:c r="H14" s="69" t="n"/>
      <x:c r="I14" s="68" t="n"/>
      <x:c r="J14" s="69" t="n"/>
      <x:c r="K14" s="68" t="n"/>
      <x:c r="L14" s="69" t="n"/>
    </x:row>
    <x:row r="15" s="11" customFormat="1" ht="22" customHeight="1"/>
    <x:row r="16" s="11" customFormat="1" ht="22" customHeight="1">
      <x:c r="A16" s="15" t="inlineStr">
        <x:is>
          <x:t xml:space="preserve">Daily Status Summary</x:t>
        </x:is>
      </x:c>
      <x:c r="B16" s="61" t="n"/>
      <x:c r="C16" s="61" t="n"/>
      <x:c r="D16" s="62" t="n"/>
      <x:c r="F16" s="15" t="inlineStr">
        <x:is>
          <x:t xml:space="preserve">Concept Mastery by Domain</x:t>
        </x:is>
      </x:c>
      <x:c r="G16" s="61" t="n"/>
      <x:c r="H16" s="61" t="n"/>
      <x:c r="I16" s="61" t="n"/>
      <x:c r="J16" s="62" t="n"/>
    </x:row>
    <x:row r="17" s="11" customFormat="1" ht="22" customHeight="1">
      <x:c r="A17" s="27" t="inlineStr">
        <x:is>
          <x:t xml:space="preserve">Status</x:t>
        </x:is>
      </x:c>
      <x:c r="B17" s="27" t="inlineStr">
        <x:is>
          <x:t xml:space="preserve">Count</x:t>
        </x:is>
      </x:c>
      <x:c r="C17" s="27" t="inlineStr">
        <x:is>
          <x:t xml:space="preserve">% of Plan</x:t>
        </x:is>
      </x:c>
      <x:c r="D17" s="27" t="inlineStr">
        <x:is>
          <x:t xml:space="preserve">What it means</x:t>
        </x:is>
      </x:c>
      <x:c r="E17" s="27" t="n"/>
      <x:c r="F17" s="27" t="inlineStr">
        <x:is>
          <x:t xml:space="preserve">Domain</x:t>
        </x:is>
      </x:c>
      <x:c r="G17" s="27" t="inlineStr">
        <x:is>
          <x:t xml:space="preserve">Total Clusters</x:t>
        </x:is>
      </x:c>
      <x:c r="H17" s="27" t="inlineStr">
        <x:is>
          <x:t xml:space="preserve">Done</x:t>
        </x:is>
      </x:c>
      <x:c r="I17" s="27" t="inlineStr">
        <x:is>
          <x:t xml:space="preserve">Completion %</x:t>
        </x:is>
      </x:c>
      <x:c r="J17" s="27" t="inlineStr">
        <x:is>
          <x:t xml:space="preserve">Priority Signal</x:t>
        </x:is>
      </x:c>
    </x:row>
    <x:row r="18" s="11" customFormat="1" ht="22" customHeight="1">
      <x:c r="A18" s="28" t="inlineStr">
        <x:is>
          <x:t xml:space="preserve">Not Started</x:t>
        </x:is>
      </x:c>
      <x:c r="B18" s="29">
        <x:f>COUNTIF('120-Day Tracker'!$N$4:$N$123,A18)</x:f>
        <x:v>120</x:v>
      </x:c>
      <x:c r="C18" s="70">
        <x:f>B18/120</x:f>
        <x:v>1</x:v>
      </x:c>
      <x:c r="D18" s="31" t="inlineStr">
        <x:is>
          <x:t xml:space="preserve">Planned but untouched</x:t>
        </x:is>
      </x:c>
      <x:c r="F18" s="32" t="inlineStr">
        <x:is>
          <x:t xml:space="preserve">DSA</x:t>
        </x:is>
      </x:c>
      <x:c r="G18" s="29">
        <x:f>COUNTIF('Concepts Tracker'!$B$4:$B$93,F18)</x:f>
        <x:v>18</x:v>
      </x:c>
      <x:c r="H18" s="29">
        <x:f>COUNTIFS('Concepts Tracker'!$B$4:$B$93,F18,'Concepts Tracker'!$J$4:$J$93,"Done")</x:f>
        <x:v>0</x:v>
      </x:c>
      <x:c r="I18" s="70">
        <x:f>IF(G18=0,0,H18/G18)</x:f>
        <x:v>0</x:v>
      </x:c>
      <x:c r="J18" s="29" t="str">
        <x:f>IF(I18&gt;=0.8,"Strong",IF(I18&gt;=0.6,"Building","Needs Focus"))</x:f>
        <x:v>Needs Focus</x:v>
      </x:c>
    </x:row>
    <x:row r="19" s="11" customFormat="1" ht="22" customHeight="1">
      <x:c r="A19" s="28" t="inlineStr">
        <x:is>
          <x:t xml:space="preserve">In Progress</x:t>
        </x:is>
      </x:c>
      <x:c r="B19" s="29">
        <x:f>COUNTIF('120-Day Tracker'!$N$4:$N$123,A19)</x:f>
        <x:v>0</x:v>
      </x:c>
      <x:c r="C19" s="70">
        <x:f>B19/120</x:f>
        <x:v>0</x:v>
      </x:c>
      <x:c r="D19" s="31" t="inlineStr">
        <x:is>
          <x:t xml:space="preserve">Started and not yet closed</x:t>
        </x:is>
      </x:c>
      <x:c r="F19" s="32" t="inlineStr">
        <x:is>
          <x:t xml:space="preserve">Java / Spring</x:t>
        </x:is>
      </x:c>
      <x:c r="G19" s="29">
        <x:f>COUNTIF('Concepts Tracker'!$B$4:$B$93,F19)</x:f>
        <x:v>18</x:v>
      </x:c>
      <x:c r="H19" s="29">
        <x:f>COUNTIFS('Concepts Tracker'!$B$4:$B$93,F19,'Concepts Tracker'!$J$4:$J$93,"Done")</x:f>
        <x:v>0</x:v>
      </x:c>
      <x:c r="I19" s="70">
        <x:f>IF(G19=0,0,H19/G19)</x:f>
        <x:v>0</x:v>
      </x:c>
      <x:c r="J19" s="29" t="str">
        <x:f>IF(I19&gt;=0.8,"Strong",IF(I19&gt;=0.6,"Building","Needs Focus"))</x:f>
        <x:v>Needs Focus</x:v>
      </x:c>
    </x:row>
    <x:row r="20" s="11" customFormat="1" ht="22" customHeight="1">
      <x:c r="A20" s="28" t="inlineStr">
        <x:is>
          <x:t xml:space="preserve">Review</x:t>
        </x:is>
      </x:c>
      <x:c r="B20" s="29">
        <x:f>COUNTIF('120-Day Tracker'!$N$4:$N$123,A20)</x:f>
        <x:v>0</x:v>
      </x:c>
      <x:c r="C20" s="70">
        <x:f>B20/120</x:f>
        <x:v>0</x:v>
      </x:c>
      <x:c r="D20" s="31" t="inlineStr">
        <x:is>
          <x:t xml:space="preserve">Built, needs cleanup/revision</x:t>
        </x:is>
      </x:c>
      <x:c r="F20" s="32" t="inlineStr">
        <x:is>
          <x:t xml:space="preserve">AWS / DevOps</x:t>
        </x:is>
      </x:c>
      <x:c r="G20" s="29">
        <x:f>COUNTIF('Concepts Tracker'!$B$4:$B$93,F20)</x:f>
        <x:v>18</x:v>
      </x:c>
      <x:c r="H20" s="29">
        <x:f>COUNTIFS('Concepts Tracker'!$B$4:$B$93,F20,'Concepts Tracker'!$J$4:$J$93,"Done")</x:f>
        <x:v>0</x:v>
      </x:c>
      <x:c r="I20" s="70">
        <x:f>IF(G20=0,0,H20/G20)</x:f>
        <x:v>0</x:v>
      </x:c>
      <x:c r="J20" s="29" t="str">
        <x:f>IF(I20&gt;=0.8,"Strong",IF(I20&gt;=0.6,"Building","Needs Focus"))</x:f>
        <x:v>Needs Focus</x:v>
      </x:c>
    </x:row>
    <x:row r="21" s="11" customFormat="1" ht="22" customHeight="1">
      <x:c r="A21" s="28" t="inlineStr">
        <x:is>
          <x:t xml:space="preserve">Done</x:t>
        </x:is>
      </x:c>
      <x:c r="B21" s="29">
        <x:f>COUNTIF('120-Day Tracker'!$N$4:$N$123,A21)</x:f>
        <x:v>0</x:v>
      </x:c>
      <x:c r="C21" s="70">
        <x:f>B21/120</x:f>
        <x:v>0</x:v>
      </x:c>
      <x:c r="D21" s="31" t="inlineStr">
        <x:is>
          <x:t xml:space="preserve">Completed with evidence</x:t>
        </x:is>
      </x:c>
      <x:c r="F21" s="32" t="inlineStr">
        <x:is>
          <x:t xml:space="preserve">React / Frontend</x:t>
        </x:is>
      </x:c>
      <x:c r="G21" s="29">
        <x:f>COUNTIF('Concepts Tracker'!$B$4:$B$93,F21)</x:f>
        <x:v>18</x:v>
      </x:c>
      <x:c r="H21" s="29">
        <x:f>COUNTIFS('Concepts Tracker'!$B$4:$B$93,F21,'Concepts Tracker'!$J$4:$J$93,"Done")</x:f>
        <x:v>0</x:v>
      </x:c>
      <x:c r="I21" s="70">
        <x:f>IF(G21=0,0,H21/G21)</x:f>
        <x:v>0</x:v>
      </x:c>
      <x:c r="J21" s="29" t="str">
        <x:f>IF(I21&gt;=0.8,"Strong",IF(I21&gt;=0.6,"Building","Needs Focus"))</x:f>
        <x:v>Needs Focus</x:v>
      </x:c>
    </x:row>
    <x:row r="22" s="11" customFormat="1" ht="22" customHeight="1">
      <x:c r="A22" s="28" t="inlineStr">
        <x:is>
          <x:t xml:space="preserve">Blocked</x:t>
        </x:is>
      </x:c>
      <x:c r="B22" s="29">
        <x:f>COUNTIF('120-Day Tracker'!$N$4:$N$123,A22)</x:f>
        <x:v>0</x:v>
      </x:c>
      <x:c r="C22" s="70">
        <x:f>B22/120</x:f>
        <x:v>0</x:v>
      </x:c>
      <x:c r="D22" s="31" t="inlineStr">
        <x:is>
          <x:t xml:space="preserve">Stuck on dependency/problem</x:t>
        </x:is>
      </x:c>
      <x:c r="F22" s="32" t="inlineStr">
        <x:is>
          <x:t xml:space="preserve">Architecture / Design</x:t>
        </x:is>
      </x:c>
      <x:c r="G22" s="29">
        <x:f>COUNTIF('Concepts Tracker'!$B$4:$B$93,F22)</x:f>
        <x:v>18</x:v>
      </x:c>
      <x:c r="H22" s="29">
        <x:f>COUNTIFS('Concepts Tracker'!$B$4:$B$93,F22,'Concepts Tracker'!$J$4:$J$93,"Done")</x:f>
        <x:v>0</x:v>
      </x:c>
      <x:c r="I22" s="70">
        <x:f>IF(G22=0,0,H22/G22)</x:f>
        <x:v>0</x:v>
      </x:c>
      <x:c r="J22" s="29" t="str">
        <x:f>IF(I22&gt;=0.8,"Strong",IF(I22&gt;=0.6,"Building","Needs Focus"))</x:f>
        <x:v>Needs Focus</x:v>
      </x:c>
    </x:row>
    <x:row r="23" s="11" customFormat="1" ht="22" customHeight="1">
      <x:c r="A23" s="28" t="inlineStr">
        <x:is>
          <x:t xml:space="preserve">Skipped</x:t>
        </x:is>
      </x:c>
      <x:c r="B23" s="29">
        <x:f>COUNTIF('120-Day Tracker'!$N$4:$N$123,A23)</x:f>
        <x:v>0</x:v>
      </x:c>
      <x:c r="C23" s="70">
        <x:f>B23/120</x:f>
        <x:v>0</x:v>
      </x:c>
      <x:c r="D23" s="31" t="inlineStr">
        <x:is>
          <x:t xml:space="preserve">Explicitly deferred or dropped</x:t>
        </x:is>
      </x:c>
    </x:row>
    <x:row r="24" s="11" customFormat="1" ht="22" customHeight="1">
      <x:c r="A24" s="15" t="inlineStr">
        <x:is>
          <x:t xml:space="preserve">Weekly Pulse</x:t>
        </x:is>
      </x:c>
      <x:c r="B24" s="61" t="n"/>
      <x:c r="C24" s="61" t="n"/>
      <x:c r="D24" s="61" t="n"/>
      <x:c r="E24" s="61" t="n"/>
      <x:c r="F24" s="61" t="n"/>
      <x:c r="G24" s="62" t="n"/>
      <x:c r="I24" s="15" t="inlineStr">
        <x:is>
          <x:t xml:space="preserve">Milestone Targets</x:t>
        </x:is>
      </x:c>
      <x:c r="J24" s="61" t="n"/>
      <x:c r="K24" s="61" t="n"/>
      <x:c r="L24" s="62" t="n"/>
    </x:row>
    <x:row r="25" s="11" customFormat="1" ht="22" customHeight="1">
      <x:c r="A25" s="27" t="inlineStr">
        <x:is>
          <x:t xml:space="preserve">Week</x:t>
        </x:is>
      </x:c>
      <x:c r="B25" s="27" t="inlineStr">
        <x:is>
          <x:t xml:space="preserve">Phase</x:t>
        </x:is>
      </x:c>
      <x:c r="C25" s="27" t="inlineStr">
        <x:is>
          <x:t xml:space="preserve">Planned Hrs</x:t>
        </x:is>
      </x:c>
      <x:c r="D25" s="27" t="inlineStr">
        <x:is>
          <x:t xml:space="preserve">Actual Hrs</x:t>
        </x:is>
      </x:c>
      <x:c r="E25" s="27" t="inlineStr">
        <x:is>
          <x:t xml:space="preserve">Completion %</x:t>
        </x:is>
      </x:c>
      <x:c r="F25" s="27" t="inlineStr">
        <x:is>
          <x:t xml:space="preserve">Readiness</x:t>
        </x:is>
      </x:c>
      <x:c r="G25" s="27" t="inlineStr">
        <x:is>
          <x:t xml:space="preserve">Overdue</x:t>
        </x:is>
      </x:c>
      <x:c r="I25" s="27" t="inlineStr">
        <x:is>
          <x:t xml:space="preserve">Checkpoint</x:t>
        </x:is>
      </x:c>
      <x:c r="J25" s="27" t="inlineStr">
        <x:is>
          <x:t xml:space="preserve">Target</x:t>
        </x:is>
      </x:c>
      <x:c r="K25" s="27" t="inlineStr">
        <x:is>
          <x:t xml:space="preserve">Definition</x:t>
        </x:is>
      </x:c>
      <x:c r="L25" s="27" t="inlineStr">
        <x:is>
          <x:t xml:space="preserve">Portfolio Signal</x:t>
        </x:is>
      </x:c>
    </x:row>
    <x:row r="26" s="11" customFormat="1" ht="22" customHeight="1">
      <x:c r="A26" s="28" t="n">
        <x:v>1</x:v>
      </x:c>
      <x:c r="B26" s="31" t="str">
        <x:f>'Weekly Scorecard'!C4</x:f>
        <x:v>Phase 1: Foundations</x:v>
      </x:c>
      <x:c r="C26" s="29">
        <x:f>'Weekly Scorecard'!E4</x:f>
        <x:v>41</x:v>
      </x:c>
      <x:c r="D26" s="29">
        <x:f>'Weekly Scorecard'!F4</x:f>
        <x:v>0</x:v>
      </x:c>
      <x:c r="E26" s="70">
        <x:f>'Weekly Scorecard'!I4</x:f>
        <x:v>0</x:v>
      </x:c>
      <x:c r="F26" s="71">
        <x:f>'Weekly Scorecard'!L4</x:f>
        <x:v>0</x:v>
      </x:c>
      <x:c r="G26" s="29">
        <x:f>'Weekly Scorecard'!K4</x:f>
        <x:v>0</x:v>
      </x:c>
      <x:c r="I26" s="37" t="inlineStr">
        <x:is>
          <x:t xml:space="preserve">Day 30</x:t>
        </x:is>
      </x:c>
      <x:c r="J26" s="31" t="inlineStr">
        <x:is>
          <x:t xml:space="preserve">Working full-stack CRUD app</x:t>
        </x:is>
      </x:c>
      <x:c r="K26" s="31" t="inlineStr">
        <x:is>
          <x:t xml:space="preserve">API + DB + React UI + basic AWS deploy</x:t>
        </x:is>
      </x:c>
      <x:c r="L26" s="31" t="inlineStr">
        <x:is>
          <x:t xml:space="preserve">Shows build depth</x:t>
        </x:is>
      </x:c>
    </x:row>
    <x:row r="27" s="11" customFormat="1" ht="22" customHeight="1">
      <x:c r="A27" s="28" t="n">
        <x:v>2</x:v>
      </x:c>
      <x:c r="B27" s="31" t="str">
        <x:f>'Weekly Scorecard'!C5</x:f>
        <x:v>Phase 1: Foundations</x:v>
      </x:c>
      <x:c r="C27" s="29">
        <x:f>'Weekly Scorecard'!E5</x:f>
        <x:v>41</x:v>
      </x:c>
      <x:c r="D27" s="29">
        <x:f>'Weekly Scorecard'!F5</x:f>
        <x:v>0</x:v>
      </x:c>
      <x:c r="E27" s="70">
        <x:f>'Weekly Scorecard'!I5</x:f>
        <x:v>0</x:v>
      </x:c>
      <x:c r="F27" s="71">
        <x:f>'Weekly Scorecard'!L5</x:f>
        <x:v>0</x:v>
      </x:c>
      <x:c r="G27" s="29">
        <x:f>'Weekly Scorecard'!K5</x:f>
        <x:v>0</x:v>
      </x:c>
      <x:c r="I27" s="37" t="inlineStr">
        <x:is>
          <x:t xml:space="preserve">Day 60</x:t>
        </x:is>
      </x:c>
      <x:c r="J27" s="31" t="inlineStr">
        <x:is>
          <x:t xml:space="preserve">Event-driven full-stack service</x:t>
        </x:is>
      </x:c>
      <x:c r="K27" s="31" t="inlineStr">
        <x:is>
          <x:t xml:space="preserve">Messaging + cache + tests + containers</x:t>
        </x:is>
      </x:c>
      <x:c r="L27" s="31" t="inlineStr">
        <x:is>
          <x:t xml:space="preserve">Shows cloud/backend maturity</x:t>
        </x:is>
      </x:c>
    </x:row>
    <x:row r="28" s="11" customFormat="1" ht="22" customHeight="1">
      <x:c r="A28" s="28" t="n">
        <x:v>3</x:v>
      </x:c>
      <x:c r="B28" s="31" t="str">
        <x:f>'Weekly Scorecard'!C6</x:f>
        <x:v>Phase 1: Foundations</x:v>
      </x:c>
      <x:c r="C28" s="29">
        <x:f>'Weekly Scorecard'!E6</x:f>
        <x:v>41</x:v>
      </x:c>
      <x:c r="D28" s="29">
        <x:f>'Weekly Scorecard'!F6</x:f>
        <x:v>0</x:v>
      </x:c>
      <x:c r="E28" s="70">
        <x:f>'Weekly Scorecard'!I6</x:f>
        <x:v>0</x:v>
      </x:c>
      <x:c r="F28" s="71">
        <x:f>'Weekly Scorecard'!L6</x:f>
        <x:v>0</x:v>
      </x:c>
      <x:c r="G28" s="29">
        <x:f>'Weekly Scorecard'!K6</x:f>
        <x:v>0</x:v>
      </x:c>
      <x:c r="I28" s="37" t="inlineStr">
        <x:is>
          <x:t xml:space="preserve">Day 90</x:t>
        </x:is>
      </x:c>
      <x:c r="J28" s="31" t="inlineStr">
        <x:is>
          <x:t xml:space="preserve">Production-style platform slice</x:t>
        </x:is>
      </x:c>
      <x:c r="K28" s="31" t="inlineStr">
        <x:is>
          <x:t xml:space="preserve">Security + observability + resilience</x:t>
        </x:is>
      </x:c>
      <x:c r="L28" s="31" t="inlineStr">
        <x:is>
          <x:t xml:space="preserve">Shows architect trade-off thinking</x:t>
        </x:is>
      </x:c>
    </x:row>
    <x:row r="29" s="11" customFormat="1" ht="22" customHeight="1">
      <x:c r="A29" s="28" t="n">
        <x:v>4</x:v>
      </x:c>
      <x:c r="B29" s="31" t="str">
        <x:f>'Weekly Scorecard'!C7</x:f>
        <x:v>Phase 1: Foundations</x:v>
      </x:c>
      <x:c r="C29" s="29">
        <x:f>'Weekly Scorecard'!E7</x:f>
        <x:v>41</x:v>
      </x:c>
      <x:c r="D29" s="29">
        <x:f>'Weekly Scorecard'!F7</x:f>
        <x:v>0</x:v>
      </x:c>
      <x:c r="E29" s="70">
        <x:f>'Weekly Scorecard'!I7</x:f>
        <x:v>0</x:v>
      </x:c>
      <x:c r="F29" s="71">
        <x:f>'Weekly Scorecard'!L7</x:f>
        <x:v>0</x:v>
      </x:c>
      <x:c r="G29" s="29">
        <x:f>'Weekly Scorecard'!K7</x:f>
        <x:v>0</x:v>
      </x:c>
      <x:c r="I29" s="37" t="inlineStr">
        <x:is>
          <x:t xml:space="preserve">Day 120</x:t>
        </x:is>
      </x:c>
      <x:c r="J29" s="31" t="inlineStr">
        <x:is>
          <x:t xml:space="preserve">Solution architect portfolio project</x:t>
        </x:is>
      </x:c>
      <x:c r="K29" s="31" t="inlineStr">
        <x:is>
          <x:t xml:space="preserve">Capstone + deck + runbook + mock round</x:t>
        </x:is>
      </x:c>
      <x:c r="L29" s="31" t="inlineStr">
        <x:is>
          <x:t xml:space="preserve">Interview-ready narrative</x:t>
        </x:is>
      </x:c>
    </x:row>
    <x:row r="30" s="11" customFormat="1" ht="22" customHeight="1">
      <x:c r="A30" s="28" t="n">
        <x:v>5</x:v>
      </x:c>
      <x:c r="B30" s="31" t="str">
        <x:f>'Weekly Scorecard'!C8</x:f>
        <x:v>Phase 1: Foundations</x:v>
      </x:c>
      <x:c r="C30" s="29">
        <x:f>'Weekly Scorecard'!E8</x:f>
        <x:v>41</x:v>
      </x:c>
      <x:c r="D30" s="29">
        <x:f>'Weekly Scorecard'!F8</x:f>
        <x:v>0</x:v>
      </x:c>
      <x:c r="E30" s="70">
        <x:f>'Weekly Scorecard'!I8</x:f>
        <x:v>0</x:v>
      </x:c>
      <x:c r="F30" s="71">
        <x:f>'Weekly Scorecard'!L8</x:f>
        <x:v>0</x:v>
      </x:c>
      <x:c r="G30" s="29">
        <x:f>'Weekly Scorecard'!K8</x:f>
        <x:v>0</x:v>
      </x:c>
    </x:row>
    <x:row r="31" s="11" customFormat="1" ht="22" customHeight="1">
      <x:c r="A31" s="28" t="n">
        <x:v>6</x:v>
      </x:c>
      <x:c r="B31" s="31" t="str">
        <x:f>'Weekly Scorecard'!C9</x:f>
        <x:v>Phase 2: Build Systems</x:v>
      </x:c>
      <x:c r="C31" s="29">
        <x:f>'Weekly Scorecard'!E9</x:f>
        <x:v>41</x:v>
      </x:c>
      <x:c r="D31" s="29">
        <x:f>'Weekly Scorecard'!F9</x:f>
        <x:v>0</x:v>
      </x:c>
      <x:c r="E31" s="70">
        <x:f>'Weekly Scorecard'!I9</x:f>
        <x:v>0</x:v>
      </x:c>
      <x:c r="F31" s="71">
        <x:f>'Weekly Scorecard'!L9</x:f>
        <x:v>0</x:v>
      </x:c>
      <x:c r="G31" s="29">
        <x:f>'Weekly Scorecard'!K9</x:f>
        <x:v>0</x:v>
      </x:c>
      <x:c r="I31" s="22" t="inlineStr">
        <x:is>
          <x:t xml:space="preserve">Overall Readiness</x:t>
        </x:is>
      </x:c>
      <x:c r="J31" s="62" t="n"/>
      <x:c r="K31" s="72">
        <x:f>ROUND(AVERAGE('Weekly Scorecard'!$L$4:$L$21),1)</x:f>
        <x:v>0</x:v>
      </x:c>
      <x:c r="L31" s="62" t="n"/>
    </x:row>
    <x:row r="32" s="11" customFormat="1" ht="22" customHeight="1">
      <x:c r="A32" s="28" t="n">
        <x:v>7</x:v>
      </x:c>
      <x:c r="B32" s="31" t="str">
        <x:f>'Weekly Scorecard'!C10</x:f>
        <x:v>Phase 2: Build Systems</x:v>
      </x:c>
      <x:c r="C32" s="29">
        <x:f>'Weekly Scorecard'!E10</x:f>
        <x:v>41</x:v>
      </x:c>
      <x:c r="D32" s="29">
        <x:f>'Weekly Scorecard'!F10</x:f>
        <x:v>0</x:v>
      </x:c>
      <x:c r="E32" s="70">
        <x:f>'Weekly Scorecard'!I10</x:f>
        <x:v>0</x:v>
      </x:c>
      <x:c r="F32" s="71">
        <x:f>'Weekly Scorecard'!L10</x:f>
        <x:v>0</x:v>
      </x:c>
      <x:c r="G32" s="29">
        <x:f>'Weekly Scorecard'!K10</x:f>
        <x:v>0</x:v>
      </x:c>
    </x:row>
    <x:row r="33" s="11" customFormat="1" ht="22" customHeight="1">
      <x:c r="A33" s="28" t="n">
        <x:v>8</x:v>
      </x:c>
      <x:c r="B33" s="31" t="str">
        <x:f>'Weekly Scorecard'!C11</x:f>
        <x:v>Phase 2: Build Systems</x:v>
      </x:c>
      <x:c r="C33" s="29">
        <x:f>'Weekly Scorecard'!E11</x:f>
        <x:v>41</x:v>
      </x:c>
      <x:c r="D33" s="29">
        <x:f>'Weekly Scorecard'!F11</x:f>
        <x:v>0</x:v>
      </x:c>
      <x:c r="E33" s="70">
        <x:f>'Weekly Scorecard'!I11</x:f>
        <x:v>0</x:v>
      </x:c>
      <x:c r="F33" s="71">
        <x:f>'Weekly Scorecard'!L11</x:f>
        <x:v>0</x:v>
      </x:c>
      <x:c r="G33" s="29">
        <x:f>'Weekly Scorecard'!K11</x:f>
        <x:v>0</x:v>
      </x:c>
    </x:row>
    <x:row r="34" s="11" customFormat="1" ht="22" customHeight="1">
      <x:c r="A34" s="28" t="n">
        <x:v>9</x:v>
      </x:c>
      <x:c r="B34" s="31" t="str">
        <x:f>'Weekly Scorecard'!C12</x:f>
        <x:v>Phase 2: Build Systems</x:v>
      </x:c>
      <x:c r="C34" s="29">
        <x:f>'Weekly Scorecard'!E12</x:f>
        <x:v>41</x:v>
      </x:c>
      <x:c r="D34" s="29">
        <x:f>'Weekly Scorecard'!F12</x:f>
        <x:v>0</x:v>
      </x:c>
      <x:c r="E34" s="70">
        <x:f>'Weekly Scorecard'!I12</x:f>
        <x:v>0</x:v>
      </x:c>
      <x:c r="F34" s="71">
        <x:f>'Weekly Scorecard'!L12</x:f>
        <x:v>0</x:v>
      </x:c>
      <x:c r="G34" s="29">
        <x:f>'Weekly Scorecard'!K12</x:f>
        <x:v>0</x:v>
      </x:c>
    </x:row>
    <x:row r="35">
      <x:c r="A35" s="28" t="n">
        <x:v>10</x:v>
      </x:c>
      <x:c r="B35" s="31" t="str">
        <x:f>'Weekly Scorecard'!C13</x:f>
        <x:v>Phase 3: Operate &amp; Scale</x:v>
      </x:c>
      <x:c r="C35" s="29">
        <x:f>'Weekly Scorecard'!E13</x:f>
        <x:v>41</x:v>
      </x:c>
      <x:c r="D35" s="29">
        <x:f>'Weekly Scorecard'!F13</x:f>
        <x:v>0</x:v>
      </x:c>
      <x:c r="E35" s="70">
        <x:f>'Weekly Scorecard'!I13</x:f>
        <x:v>0</x:v>
      </x:c>
      <x:c r="F35" s="71">
        <x:f>'Weekly Scorecard'!L13</x:f>
        <x:v>0</x:v>
      </x:c>
      <x:c r="G35" s="29">
        <x:f>'Weekly Scorecard'!K13</x:f>
        <x:v>0</x:v>
      </x:c>
    </x:row>
    <x:row r="36">
      <x:c r="A36" s="28" t="n">
        <x:v>11</x:v>
      </x:c>
      <x:c r="B36" s="31" t="str">
        <x:f>'Weekly Scorecard'!C14</x:f>
        <x:v>Phase 3: Operate &amp; Scale</x:v>
      </x:c>
      <x:c r="C36" s="29">
        <x:f>'Weekly Scorecard'!E14</x:f>
        <x:v>41</x:v>
      </x:c>
      <x:c r="D36" s="29">
        <x:f>'Weekly Scorecard'!F14</x:f>
        <x:v>0</x:v>
      </x:c>
      <x:c r="E36" s="70">
        <x:f>'Weekly Scorecard'!I14</x:f>
        <x:v>0</x:v>
      </x:c>
      <x:c r="F36" s="71">
        <x:f>'Weekly Scorecard'!L14</x:f>
        <x:v>0</x:v>
      </x:c>
      <x:c r="G36" s="29">
        <x:f>'Weekly Scorecard'!K14</x:f>
        <x:v>0</x:v>
      </x:c>
    </x:row>
    <x:row r="37">
      <x:c r="A37" s="28" t="n">
        <x:v>12</x:v>
      </x:c>
      <x:c r="B37" s="31" t="str">
        <x:f>'Weekly Scorecard'!C15</x:f>
        <x:v>Phase 3: Operate &amp; Scale</x:v>
      </x:c>
      <x:c r="C37" s="29">
        <x:f>'Weekly Scorecard'!E15</x:f>
        <x:v>41</x:v>
      </x:c>
      <x:c r="D37" s="29">
        <x:f>'Weekly Scorecard'!F15</x:f>
        <x:v>0</x:v>
      </x:c>
      <x:c r="E37" s="70">
        <x:f>'Weekly Scorecard'!I15</x:f>
        <x:v>0</x:v>
      </x:c>
      <x:c r="F37" s="71">
        <x:f>'Weekly Scorecard'!L15</x:f>
        <x:v>0</x:v>
      </x:c>
      <x:c r="G37" s="29">
        <x:f>'Weekly Scorecard'!K15</x:f>
        <x:v>0</x:v>
      </x:c>
    </x:row>
    <x:row r="38">
      <x:c r="A38" s="28" t="n">
        <x:v>13</x:v>
      </x:c>
      <x:c r="B38" s="31" t="str">
        <x:f>'Weekly Scorecard'!C16</x:f>
        <x:v>Phase 3: Operate &amp; Scale</x:v>
      </x:c>
      <x:c r="C38" s="29">
        <x:f>'Weekly Scorecard'!E16</x:f>
        <x:v>41</x:v>
      </x:c>
      <x:c r="D38" s="29">
        <x:f>'Weekly Scorecard'!F16</x:f>
        <x:v>0</x:v>
      </x:c>
      <x:c r="E38" s="70">
        <x:f>'Weekly Scorecard'!I16</x:f>
        <x:v>0</x:v>
      </x:c>
      <x:c r="F38" s="71">
        <x:f>'Weekly Scorecard'!L16</x:f>
        <x:v>0</x:v>
      </x:c>
      <x:c r="G38" s="29">
        <x:f>'Weekly Scorecard'!K16</x:f>
        <x:v>0</x:v>
      </x:c>
    </x:row>
    <x:row r="39">
      <x:c r="A39" s="28" t="n">
        <x:v>14</x:v>
      </x:c>
      <x:c r="B39" s="31" t="str">
        <x:f>'Weekly Scorecard'!C17</x:f>
        <x:v>Phase 4: Architect Mode</x:v>
      </x:c>
      <x:c r="C39" s="29">
        <x:f>'Weekly Scorecard'!E17</x:f>
        <x:v>41</x:v>
      </x:c>
      <x:c r="D39" s="29">
        <x:f>'Weekly Scorecard'!F17</x:f>
        <x:v>0</x:v>
      </x:c>
      <x:c r="E39" s="70">
        <x:f>'Weekly Scorecard'!I17</x:f>
        <x:v>0</x:v>
      </x:c>
      <x:c r="F39" s="71">
        <x:f>'Weekly Scorecard'!L17</x:f>
        <x:v>0</x:v>
      </x:c>
      <x:c r="G39" s="29">
        <x:f>'Weekly Scorecard'!K17</x:f>
        <x:v>0</x:v>
      </x:c>
    </x:row>
    <x:row r="40">
      <x:c r="A40" s="28" t="n">
        <x:v>15</x:v>
      </x:c>
      <x:c r="B40" s="31" t="str">
        <x:f>'Weekly Scorecard'!C18</x:f>
        <x:v>Phase 4: Architect Mode</x:v>
      </x:c>
      <x:c r="C40" s="29">
        <x:f>'Weekly Scorecard'!E18</x:f>
        <x:v>41</x:v>
      </x:c>
      <x:c r="D40" s="29">
        <x:f>'Weekly Scorecard'!F18</x:f>
        <x:v>0</x:v>
      </x:c>
      <x:c r="E40" s="70">
        <x:f>'Weekly Scorecard'!I18</x:f>
        <x:v>0</x:v>
      </x:c>
      <x:c r="F40" s="71">
        <x:f>'Weekly Scorecard'!L18</x:f>
        <x:v>0</x:v>
      </x:c>
      <x:c r="G40" s="29">
        <x:f>'Weekly Scorecard'!K18</x:f>
        <x:v>0</x:v>
      </x:c>
    </x:row>
    <x:row r="41">
      <x:c r="A41" s="28" t="n">
        <x:v>16</x:v>
      </x:c>
      <x:c r="B41" s="31" t="str">
        <x:f>'Weekly Scorecard'!C19</x:f>
        <x:v>Phase 4: Architect Mode</x:v>
      </x:c>
      <x:c r="C41" s="29">
        <x:f>'Weekly Scorecard'!E19</x:f>
        <x:v>41</x:v>
      </x:c>
      <x:c r="D41" s="29">
        <x:f>'Weekly Scorecard'!F19</x:f>
        <x:v>0</x:v>
      </x:c>
      <x:c r="E41" s="70">
        <x:f>'Weekly Scorecard'!I19</x:f>
        <x:v>0</x:v>
      </x:c>
      <x:c r="F41" s="71">
        <x:f>'Weekly Scorecard'!L19</x:f>
        <x:v>0</x:v>
      </x:c>
      <x:c r="G41" s="29">
        <x:f>'Weekly Scorecard'!K19</x:f>
        <x:v>0</x:v>
      </x:c>
    </x:row>
    <x:row r="42">
      <x:c r="A42" s="28" t="n">
        <x:v>17</x:v>
      </x:c>
      <x:c r="B42" s="31" t="str">
        <x:f>'Weekly Scorecard'!C20</x:f>
        <x:v>Phase 4: Architect Mode</x:v>
      </x:c>
      <x:c r="C42" s="29">
        <x:f>'Weekly Scorecard'!E20</x:f>
        <x:v>41</x:v>
      </x:c>
      <x:c r="D42" s="29">
        <x:f>'Weekly Scorecard'!F20</x:f>
        <x:v>0</x:v>
      </x:c>
      <x:c r="E42" s="70">
        <x:f>'Weekly Scorecard'!I20</x:f>
        <x:v>0</x:v>
      </x:c>
      <x:c r="F42" s="71">
        <x:f>'Weekly Scorecard'!L20</x:f>
        <x:v>0</x:v>
      </x:c>
      <x:c r="G42" s="29">
        <x:f>'Weekly Scorecard'!K20</x:f>
        <x:v>0</x:v>
      </x:c>
    </x:row>
    <x:row r="43">
      <x:c r="A43" s="28" t="n">
        <x:v>18</x:v>
      </x:c>
      <x:c r="B43" s="31" t="str">
        <x:f>'Weekly Scorecard'!C21</x:f>
        <x:v>Phase 4: Architect Mode</x:v>
      </x:c>
      <x:c r="C43" s="29">
        <x:f>'Weekly Scorecard'!E21</x:f>
        <x:v>5</x:v>
      </x:c>
      <x:c r="D43" s="29">
        <x:f>'Weekly Scorecard'!F21</x:f>
        <x:v>0</x:v>
      </x:c>
      <x:c r="E43" s="70">
        <x:f>'Weekly Scorecard'!I21</x:f>
        <x:v>0</x:v>
      </x:c>
      <x:c r="F43" s="71">
        <x:f>'Weekly Scorecard'!L21</x:f>
        <x:v>0</x:v>
      </x:c>
      <x:c r="G43" s="29">
        <x:f>'Weekly Scorecard'!K21</x:f>
        <x:v>0</x:v>
      </x:c>
    </x:row>
  </x:sheetData>
  <x:mergeCells>
    <x:mergeCell ref="E12:F12"/>
    <x:mergeCell ref="G12:H12"/>
    <x:mergeCell ref="A4:D4"/>
    <x:mergeCell ref="F9:L9"/>
    <x:mergeCell ref="F16:J16"/>
    <x:mergeCell ref="I13:J14"/>
    <x:mergeCell ref="A2:L2"/>
    <x:mergeCell ref="A13:B14"/>
    <x:mergeCell ref="K13:L14"/>
    <x:mergeCell ref="F4:L4"/>
    <x:mergeCell ref="A24:G24"/>
    <x:mergeCell ref="K31:L31"/>
    <x:mergeCell ref="C13:D14"/>
    <x:mergeCell ref="A12:B12"/>
    <x:mergeCell ref="F6:L6"/>
    <x:mergeCell ref="C12:D12"/>
    <x:mergeCell ref="I12:J12"/>
    <x:mergeCell ref="K12:L12"/>
    <x:mergeCell ref="F7:L7"/>
    <x:mergeCell ref="A16:D16"/>
    <x:mergeCell ref="F5:L5"/>
    <x:mergeCell ref="E13:F14"/>
    <x:mergeCell ref="G13:H14"/>
    <x:mergeCell ref="F8:L8"/>
    <x:mergeCell ref="A11:L11"/>
    <x:mergeCell ref="A1:L1"/>
    <x:mergeCell ref="I24:L24"/>
    <x:mergeCell ref="I31:J31"/>
  </x:mergeCells>
  <x:pageMargins left="0.7" right="0.7" top="0.75" bottom="0.75" header="0.3" footer="0.3"/>
  <x:legacyDrawing xmlns:r="http://schemas.openxmlformats.org/officeDocument/2006/relationships" r:id="Rf72cea6426e2460a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6" style="11" customWidth="1"/>
    <x:col min="2" max="2" width="6" style="11" customWidth="1"/>
    <x:col min="3" max="3" width="10" style="11" customWidth="1"/>
    <x:col min="4" max="4" width="10" style="11" customWidth="1"/>
    <x:col min="5" max="5" width="12" style="11" customWidth="1"/>
    <x:col min="6" max="6" width="12" style="11" customWidth="1"/>
    <x:col min="7" max="7" width="26" style="11" customWidth="1"/>
    <x:col min="8" max="8" width="24" style="11" customWidth="1"/>
    <x:col min="9" max="9" width="24" style="11" customWidth="1"/>
    <x:col min="10" max="10" width="24" style="11" customWidth="1"/>
    <x:col min="11" max="11" width="22" style="11" customWidth="1"/>
    <x:col min="12" max="12" width="28" style="11" customWidth="1"/>
    <x:col min="13" max="13" width="28" style="11" customWidth="1"/>
    <x:col min="14" max="14" width="14" style="11" customWidth="1"/>
    <x:col min="15" max="15" width="12" style="11" customWidth="1"/>
    <x:col min="16" max="16" width="12" style="11" customWidth="1"/>
    <x:col min="17" max="17" width="13" style="11" customWidth="1"/>
    <x:col min="18" max="18" width="14" style="11" customWidth="1"/>
    <x:col min="19" max="19" width="20" style="11" customWidth="1"/>
    <x:col min="20" max="20" width="22" style="11" customWidth="1"/>
    <x:col min="21" max="21" width="12" style="11" customWidth="1"/>
    <x:col min="22" max="22" width="12" style="11" customWidth="1"/>
    <x:col min="23" max="23" width="18" style="11" customWidth="1"/>
  </x:cols>
  <x:sheetData>
    <x:row r="1" s="11" customFormat="1" ht="26" customHeight="1">
      <x:c r="A1" s="12" t="inlineStr">
        <x:is>
          <x:t xml:space="preserve">120-Day Tracker</x:t>
        </x:is>
      </x:c>
      <x:c r="B1" s="61" t="n"/>
      <x:c r="C1" s="61" t="n"/>
      <x:c r="D1" s="61" t="n"/>
      <x:c r="E1" s="61" t="n"/>
      <x:c r="F1" s="61" t="n"/>
      <x:c r="G1" s="61" t="n"/>
      <x:c r="H1" s="61" t="n"/>
      <x:c r="I1" s="61" t="n"/>
      <x:c r="J1" s="61" t="n"/>
      <x:c r="K1" s="61" t="n"/>
      <x:c r="L1" s="61" t="n"/>
      <x:c r="M1" s="61" t="n"/>
      <x:c r="N1" s="61" t="n"/>
      <x:c r="O1" s="61" t="n"/>
      <x:c r="P1" s="61" t="n"/>
      <x:c r="Q1" s="61" t="n"/>
      <x:c r="R1" s="61" t="n"/>
      <x:c r="S1" s="61" t="n"/>
      <x:c r="T1" s="61" t="n"/>
      <x:c r="U1" s="61" t="n"/>
      <x:c r="V1" s="61" t="n"/>
      <x:c r="W1" s="62" t="n"/>
    </x:row>
    <x:row r="2" s="11" customFormat="1" ht="28" customHeight="1">
      <x:c r="A2" s="40" t="inlineStr">
        <x:is>
          <x:t xml:space="preserve">Update blue-font columns only. All green columns are imported from the detailed plan; black cells are formulas/derived tracking fields.</x:t>
        </x:is>
      </x:c>
    </x:row>
    <x:row r="3" s="11" customFormat="1" ht="34" customHeight="1">
      <x:c r="A3" s="27" t="inlineStr">
        <x:is>
          <x:t xml:space="preserve">Day</x:t>
        </x:is>
      </x:c>
      <x:c r="B3" s="27" t="inlineStr">
        <x:is>
          <x:t xml:space="preserve">Week</x:t>
        </x:is>
      </x:c>
      <x:c r="C3" s="27" t="inlineStr">
        <x:is>
          <x:t xml:space="preserve">Cycle Day</x:t>
        </x:is>
      </x:c>
      <x:c r="D3" s="27" t="inlineStr">
        <x:is>
          <x:t xml:space="preserve">Day Type</x:t>
        </x:is>
      </x:c>
      <x:c r="E3" s="27" t="inlineStr">
        <x:is>
          <x:t xml:space="preserve">Target Date</x:t>
        </x:is>
      </x:c>
      <x:c r="F3" s="27" t="inlineStr">
        <x:is>
          <x:t xml:space="preserve">Planned Hours</x:t>
        </x:is>
      </x:c>
      <x:c r="G3" s="27" t="inlineStr">
        <x:is>
          <x:t xml:space="preserve">Weekly Theme</x:t>
        </x:is>
      </x:c>
      <x:c r="H3" s="27" t="inlineStr">
        <x:is>
          <x:t xml:space="preserve">DSA Focus</x:t>
        </x:is>
      </x:c>
      <x:c r="I3" s="27" t="inlineStr">
        <x:is>
          <x:t xml:space="preserve">Java / Spring</x:t>
        </x:is>
      </x:c>
      <x:c r="J3" s="27" t="inlineStr">
        <x:is>
          <x:t xml:space="preserve">AWS / DevOps</x:t>
        </x:is>
      </x:c>
      <x:c r="K3" s="27" t="inlineStr">
        <x:is>
          <x:t xml:space="preserve">React / Frontend</x:t>
        </x:is>
      </x:c>
      <x:c r="L3" s="27" t="inlineStr">
        <x:is>
          <x:t xml:space="preserve">Architecture / Design</x:t>
        </x:is>
      </x:c>
      <x:c r="M3" s="27" t="inlineStr">
        <x:is>
          <x:t xml:space="preserve">Primary Deliverable</x:t>
        </x:is>
      </x:c>
      <x:c r="N3" s="27" t="inlineStr">
        <x:is>
          <x:t xml:space="preserve">Status</x:t>
        </x:is>
      </x:c>
      <x:c r="O3" s="27" t="inlineStr">
        <x:is>
          <x:t xml:space="preserve">Actual Hours</x:t>
        </x:is>
      </x:c>
      <x:c r="P3" s="27" t="inlineStr">
        <x:is>
          <x:t xml:space="preserve">Completion %</x:t>
        </x:is>
      </x:c>
      <x:c r="Q3" s="27" t="inlineStr">
        <x:is>
          <x:t xml:space="preserve">Confidence (1-5)</x:t>
        </x:is>
      </x:c>
      <x:c r="R3" s="27" t="inlineStr">
        <x:is>
          <x:t xml:space="preserve">Revision Needed</x:t>
        </x:is>
      </x:c>
      <x:c r="S3" s="27" t="inlineStr">
        <x:is>
          <x:t xml:space="preserve">Blocker / Risk</x:t>
        </x:is>
      </x:c>
      <x:c r="T3" s="27" t="inlineStr">
        <x:is>
          <x:t xml:space="preserve">Evidence / Notes</x:t>
        </x:is>
      </x:c>
      <x:c r="U3" s="27" t="inlineStr">
        <x:is>
          <x:t xml:space="preserve">Overdue</x:t>
        </x:is>
      </x:c>
      <x:c r="V3" s="27" t="inlineStr">
        <x:is>
          <x:t xml:space="preserve">Review Date</x:t>
        </x:is>
      </x:c>
      <x:c r="W3" s="27" t="inlineStr">
        <x:is>
          <x:t xml:space="preserve">Next Action</x:t>
        </x:is>
      </x:c>
    </x:row>
    <x:row r="4" s="11" customFormat="1" ht="34" customHeight="1">
      <x:c r="A4" s="41" t="n">
        <x:v>1</x:v>
      </x:c>
      <x:c r="B4" s="41" t="n">
        <x:v>1</x:v>
      </x:c>
      <x:c r="C4" s="41" t="inlineStr">
        <x:is>
          <x:t xml:space="preserve">Mon</x:t>
        </x:is>
      </x:c>
      <x:c r="D4" s="41" t="inlineStr">
        <x:is>
          <x:t xml:space="preserve">Weekday</x:t>
        </x:is>
      </x:c>
      <x:c r="E4" s="64">
        <x:f>IF(Dashboard!$B$5="","",Dashboard!$B$5+A4-1)</x:f>
        <x:v>46125</x:v>
      </x:c>
      <x:c r="F4" s="41" t="n">
        <x:v>5</x:v>
      </x:c>
      <x:c r="G4" s="42" t="inlineStr">
        <x:is>
          <x:t xml:space="preserve">Foundation: algorithm thinking, JVM, AWS account/core infra, React fundamentals, architect basics</x:t>
        </x:is>
      </x:c>
      <x:c r="H4" s="43" t="inlineStr">
        <x:is>
          <x:t xml:space="preserve">Arrays intro + complexity</x:t>
        </x:is>
      </x:c>
      <x:c r="I4" s="43" t="inlineStr">
        <x:is>
          <x:t xml:space="preserve">JVM memory model: heap, stack, metaspace</x:t>
        </x:is>
      </x:c>
      <x:c r="J4" s="43" t="inlineStr">
        <x:is>
          <x:t xml:space="preserve">AWS global infrastructure, account setup, MFA</x:t>
        </x:is>
      </x:c>
      <x:c r="K4" s="43" t="inlineStr">
        <x:is>
          <x:t xml:space="preserve">React mental model, setup, components</x:t>
        </x:is>
      </x:c>
      <x:c r="L4" s="42" t="inlineStr">
        <x:is>
          <x:t xml:space="preserve">Role of a solution architect; Well-Architected pillars</x:t>
        </x:is>
      </x:c>
      <x:c r="M4" s="42" t="inlineStr">
        <x:is>
          <x:t xml:space="preserve">Create study repo, notes template, AWS account, local Java/Node setup</x:t>
        </x:is>
      </x:c>
      <x:c r="N4" s="44" t="inlineStr">
        <x:is>
          <x:t xml:space="preserve">Not Started</x:t>
        </x:is>
      </x:c>
      <x:c r="O4" s="45" t="n"/>
      <x:c r="P4" s="73">
        <x:f>IF(N4="Done",1,IF(N4="Review",0.75,IF(N4="In Progress",0.5,0)))</x:f>
        <x:v>0</x:v>
      </x:c>
      <x:c r="Q4" s="45" t="n"/>
      <x:c r="R4" s="47" t="n"/>
      <x:c r="S4" s="47" t="n"/>
      <x:c r="T4" s="48" t="n"/>
      <x:c r="U4" s="49">
        <x:f>IF(AND(N4&lt;&gt;"Done",N4&lt;&gt;"Skipped",E4&lt;&gt;"",TODAY()&gt;E4),"Overdue","")</x:f>
      </x:c>
      <x:c r="V4" s="74" t="n"/>
      <x:c r="W4" s="47" t="n"/>
    </x:row>
    <x:row r="5" s="11" customFormat="1" ht="34" customHeight="1">
      <x:c r="A5" s="41" t="n">
        <x:v>2</x:v>
      </x:c>
      <x:c r="B5" s="41" t="n">
        <x:v>1</x:v>
      </x:c>
      <x:c r="C5" s="41" t="inlineStr">
        <x:is>
          <x:t xml:space="preserve">Tue</x:t>
        </x:is>
      </x:c>
      <x:c r="D5" s="41" t="inlineStr">
        <x:is>
          <x:t xml:space="preserve">Weekday</x:t>
        </x:is>
      </x:c>
      <x:c r="E5" s="64">
        <x:f>IF(Dashboard!$B$5="","",Dashboard!$B$5+A5-1)</x:f>
        <x:v>46126</x:v>
      </x:c>
      <x:c r="F5" s="41" t="n">
        <x:v>5</x:v>
      </x:c>
      <x:c r="G5" s="42" t="inlineStr">
        <x:is>
          <x:t xml:space="preserve">Foundation: algorithm thinking, JVM, AWS account/core infra, React fundamentals, architect basics</x:t>
        </x:is>
      </x:c>
      <x:c r="H5" s="43" t="inlineStr">
        <x:is>
          <x:t xml:space="preserve">Hashing patterns</x:t>
        </x:is>
      </x:c>
      <x:c r="I5" s="43" t="inlineStr">
        <x:is>
          <x:t xml:space="preserve">Class loading, JIT, GC overview</x:t>
        </x:is>
      </x:c>
      <x:c r="J5" s="43" t="inlineStr">
        <x:is>
          <x:t xml:space="preserve">IAM users, groups, roles, policies</x:t>
        </x:is>
      </x:c>
      <x:c r="K5" s="43" t="inlineStr">
        <x:is>
          <x:t xml:space="preserve">JSX, props, state</x:t>
        </x:is>
      </x:c>
      <x:c r="L5" s="42" t="inlineStr">
        <x:is>
          <x:t xml:space="preserve">Functional vs non-functional requirements</x:t>
        </x:is>
      </x:c>
      <x:c r="M5" s="42" t="inlineStr">
        <x:is>
          <x:t xml:space="preserve">Write one-page notes for IAM and NFRs</x:t>
        </x:is>
      </x:c>
      <x:c r="N5" s="44" t="inlineStr">
        <x:is>
          <x:t xml:space="preserve">Not Started</x:t>
        </x:is>
      </x:c>
      <x:c r="O5" s="45" t="n"/>
      <x:c r="P5" s="73">
        <x:f>IF(N5="Done",1,IF(N5="Review",0.75,IF(N5="In Progress",0.5,0)))</x:f>
        <x:v>0</x:v>
      </x:c>
      <x:c r="Q5" s="45" t="n"/>
      <x:c r="R5" s="47" t="n"/>
      <x:c r="S5" s="47" t="n"/>
      <x:c r="T5" s="48" t="n"/>
      <x:c r="U5" s="49">
        <x:f>IF(AND(N5&lt;&gt;"Done",N5&lt;&gt;"Skipped",E5&lt;&gt;"",TODAY()&gt;E5),"Overdue","")</x:f>
      </x:c>
      <x:c r="V5" s="74" t="n"/>
      <x:c r="W5" s="47" t="n"/>
    </x:row>
    <x:row r="6" s="11" customFormat="1" ht="34" customHeight="1">
      <x:c r="A6" s="41" t="n">
        <x:v>3</x:v>
      </x:c>
      <x:c r="B6" s="41" t="n">
        <x:v>1</x:v>
      </x:c>
      <x:c r="C6" s="41" t="inlineStr">
        <x:is>
          <x:t xml:space="preserve">Wed</x:t>
        </x:is>
      </x:c>
      <x:c r="D6" s="41" t="inlineStr">
        <x:is>
          <x:t xml:space="preserve">Weekday</x:t>
        </x:is>
      </x:c>
      <x:c r="E6" s="64">
        <x:f>IF(Dashboard!$B$5="","",Dashboard!$B$5+A6-1)</x:f>
        <x:v>46127</x:v>
      </x:c>
      <x:c r="F6" s="41" t="n">
        <x:v>5</x:v>
      </x:c>
      <x:c r="G6" s="42" t="inlineStr">
        <x:is>
          <x:t xml:space="preserve">Foundation: algorithm thinking, JVM, AWS account/core infra, React fundamentals, architect basics</x:t>
        </x:is>
      </x:c>
      <x:c r="H6" s="43" t="inlineStr">
        <x:is>
          <x:t xml:space="preserve">Prefix sum</x:t>
        </x:is>
      </x:c>
      <x:c r="I6" s="43" t="inlineStr">
        <x:is>
          <x:t xml:space="preserve">G1 GC and memory troubleshooting basics</x:t>
        </x:is>
      </x:c>
      <x:c r="J6" s="43" t="inlineStr">
        <x:is>
          <x:t xml:space="preserve">AWS CLI, billing alerts, budgets</x:t>
        </x:is>
      </x:c>
      <x:c r="K6" s="43" t="inlineStr">
        <x:is>
          <x:t xml:space="preserve">useState/useEffect basics</x:t>
        </x:is>
      </x:c>
      <x:c r="L6" s="42" t="inlineStr">
        <x:is>
          <x:t xml:space="preserve">Latency vs throughput vs scalability</x:t>
        </x:is>
      </x:c>
      <x:c r="M6" s="42" t="inlineStr">
        <x:is>
          <x:t xml:space="preserve">Budget alarm and first React mini-screen</x:t>
        </x:is>
      </x:c>
      <x:c r="N6" s="44" t="inlineStr">
        <x:is>
          <x:t xml:space="preserve">Not Started</x:t>
        </x:is>
      </x:c>
      <x:c r="O6" s="45" t="n"/>
      <x:c r="P6" s="73">
        <x:f>IF(N6="Done",1,IF(N6="Review",0.75,IF(N6="In Progress",0.5,0)))</x:f>
        <x:v>0</x:v>
      </x:c>
      <x:c r="Q6" s="45" t="n"/>
      <x:c r="R6" s="47" t="n"/>
      <x:c r="S6" s="47" t="n"/>
      <x:c r="T6" s="48" t="n"/>
      <x:c r="U6" s="49">
        <x:f>IF(AND(N6&lt;&gt;"Done",N6&lt;&gt;"Skipped",E6&lt;&gt;"",TODAY()&gt;E6),"Overdue","")</x:f>
      </x:c>
      <x:c r="V6" s="74" t="n"/>
      <x:c r="W6" s="47" t="n"/>
    </x:row>
    <x:row r="7" s="11" customFormat="1" ht="34" customHeight="1">
      <x:c r="A7" s="41" t="n">
        <x:v>4</x:v>
      </x:c>
      <x:c r="B7" s="41" t="n">
        <x:v>1</x:v>
      </x:c>
      <x:c r="C7" s="41" t="inlineStr">
        <x:is>
          <x:t xml:space="preserve">Thu</x:t>
        </x:is>
      </x:c>
      <x:c r="D7" s="41" t="inlineStr">
        <x:is>
          <x:t xml:space="preserve">Weekday</x:t>
        </x:is>
      </x:c>
      <x:c r="E7" s="64">
        <x:f>IF(Dashboard!$B$5="","",Dashboard!$B$5+A7-1)</x:f>
        <x:v>46128</x:v>
      </x:c>
      <x:c r="F7" s="41" t="n">
        <x:v>5</x:v>
      </x:c>
      <x:c r="G7" s="42" t="inlineStr">
        <x:is>
          <x:t xml:space="preserve">Foundation: algorithm thinking, JVM, AWS account/core infra, React fundamentals, architect basics</x:t>
        </x:is>
      </x:c>
      <x:c r="H7" s="43" t="inlineStr">
        <x:is>
          <x:t xml:space="preserve">Kadane + product array except self</x:t>
        </x:is>
      </x:c>
      <x:c r="I7" s="43" t="inlineStr">
        <x:is>
          <x:t xml:space="preserve">Collections overview and ArrayList vs LinkedList</x:t>
        </x:is>
      </x:c>
      <x:c r="J7" s="43" t="inlineStr">
        <x:is>
          <x:t xml:space="preserve">EC2 basics, AMI, instance families</x:t>
        </x:is>
      </x:c>
      <x:c r="K7" s="43" t="inlineStr">
        <x:is>
          <x:t xml:space="preserve">Lists, conditional rendering, events</x:t>
        </x:is>
      </x:c>
      <x:c r="L7" s="42" t="inlineStr">
        <x:is>
          <x:t xml:space="preserve">CAP theorem and distributed-system basics</x:t>
        </x:is>
      </x:c>
      <x:c r="M7" s="42" t="inlineStr">
        <x:is>
          <x:t xml:space="preserve">Launch EC2 and run hello-world app</x:t>
        </x:is>
      </x:c>
      <x:c r="N7" s="44" t="inlineStr">
        <x:is>
          <x:t xml:space="preserve">Not Started</x:t>
        </x:is>
      </x:c>
      <x:c r="O7" s="45" t="n"/>
      <x:c r="P7" s="73">
        <x:f>IF(N7="Done",1,IF(N7="Review",0.75,IF(N7="In Progress",0.5,0)))</x:f>
        <x:v>0</x:v>
      </x:c>
      <x:c r="Q7" s="45" t="n"/>
      <x:c r="R7" s="47" t="n"/>
      <x:c r="S7" s="47" t="n"/>
      <x:c r="T7" s="48" t="n"/>
      <x:c r="U7" s="49">
        <x:f>IF(AND(N7&lt;&gt;"Done",N7&lt;&gt;"Skipped",E7&lt;&gt;"",TODAY()&gt;E7),"Overdue","")</x:f>
      </x:c>
      <x:c r="V7" s="74" t="n"/>
      <x:c r="W7" s="47" t="n"/>
    </x:row>
    <x:row r="8" s="11" customFormat="1" ht="34" customHeight="1">
      <x:c r="A8" s="41" t="n">
        <x:v>5</x:v>
      </x:c>
      <x:c r="B8" s="41" t="n">
        <x:v>1</x:v>
      </x:c>
      <x:c r="C8" s="41" t="inlineStr">
        <x:is>
          <x:t xml:space="preserve">Fri</x:t>
        </x:is>
      </x:c>
      <x:c r="D8" s="41" t="inlineStr">
        <x:is>
          <x:t xml:space="preserve">Weekday</x:t>
        </x:is>
      </x:c>
      <x:c r="E8" s="64">
        <x:f>IF(Dashboard!$B$5="","",Dashboard!$B$5+A8-1)</x:f>
        <x:v>46129</x:v>
      </x:c>
      <x:c r="F8" s="41" t="n">
        <x:v>5</x:v>
      </x:c>
      <x:c r="G8" s="42" t="inlineStr">
        <x:is>
          <x:t xml:space="preserve">Foundation: algorithm thinking, JVM, AWS account/core infra, React fundamentals, architect basics</x:t>
        </x:is>
      </x:c>
      <x:c r="H8" s="43" t="inlineStr">
        <x:is>
          <x:t xml:space="preserve">Best time to buy/sell + move zeroes</x:t>
        </x:is>
      </x:c>
      <x:c r="I8" s="43" t="inlineStr">
        <x:is>
          <x:t xml:space="preserve">HashMap internals and collision handling</x:t>
        </x:is>
      </x:c>
      <x:c r="J8" s="43" t="inlineStr">
        <x:is>
          <x:t xml:space="preserve">Security groups, key pairs, SSH</x:t>
        </x:is>
      </x:c>
      <x:c r="K8" s="43" t="inlineStr">
        <x:is>
          <x:t xml:space="preserve">Reusable components and props flow</x:t>
        </x:is>
      </x:c>
      <x:c r="L8" s="42" t="inlineStr">
        <x:is>
          <x:t xml:space="preserve">Monolith vs modular monolith</x:t>
        </x:is>
      </x:c>
      <x:c r="M8" s="42" t="inlineStr">
        <x:is>
          <x:t xml:space="preserve">Deploy simple Java app on EC2</x:t>
        </x:is>
      </x:c>
      <x:c r="N8" s="44" t="inlineStr">
        <x:is>
          <x:t xml:space="preserve">Not Started</x:t>
        </x:is>
      </x:c>
      <x:c r="O8" s="45" t="n"/>
      <x:c r="P8" s="73">
        <x:f>IF(N8="Done",1,IF(N8="Review",0.75,IF(N8="In Progress",0.5,0)))</x:f>
        <x:v>0</x:v>
      </x:c>
      <x:c r="Q8" s="45" t="n"/>
      <x:c r="R8" s="47" t="n"/>
      <x:c r="S8" s="47" t="n"/>
      <x:c r="T8" s="48" t="n"/>
      <x:c r="U8" s="49">
        <x:f>IF(AND(N8&lt;&gt;"Done",N8&lt;&gt;"Skipped",E8&lt;&gt;"",TODAY()&gt;E8),"Overdue","")</x:f>
      </x:c>
      <x:c r="V8" s="74" t="n"/>
      <x:c r="W8" s="47" t="n"/>
    </x:row>
    <x:row r="9" s="11" customFormat="1" ht="34" customHeight="1">
      <x:c r="A9" s="41" t="n">
        <x:v>6</x:v>
      </x:c>
      <x:c r="B9" s="41" t="n">
        <x:v>1</x:v>
      </x:c>
      <x:c r="C9" s="41" t="inlineStr">
        <x:is>
          <x:t xml:space="preserve">Sat</x:t>
        </x:is>
      </x:c>
      <x:c r="D9" s="41" t="inlineStr">
        <x:is>
          <x:t xml:space="preserve">Weekend</x:t>
        </x:is>
      </x:c>
      <x:c r="E9" s="64">
        <x:f>IF(Dashboard!$B$5="","",Dashboard!$B$5+A9-1)</x:f>
        <x:v>46130</x:v>
      </x:c>
      <x:c r="F9" s="41" t="n">
        <x:v>8</x:v>
      </x:c>
      <x:c r="G9" s="42" t="inlineStr">
        <x:is>
          <x:t xml:space="preserve">Foundation: algorithm thinking, JVM, AWS account/core infra, React fundamentals, architect basics</x:t>
        </x:is>
      </x:c>
      <x:c r="H9" s="43" t="inlineStr">
        <x:is>
          <x:t xml:space="preserve">Weekend drill: 4 array/hash problems</x:t>
        </x:is>
      </x:c>
      <x:c r="I9" s="43" t="inlineStr">
        <x:is>
          <x:t xml:space="preserve">Java profiling intro with VisualVM/JFR</x:t>
        </x:is>
      </x:c>
      <x:c r="J9" s="43" t="inlineStr">
        <x:is>
          <x:t xml:space="preserve">S3 basics: buckets, policies, object upload</x:t>
        </x:is>
      </x:c>
      <x:c r="K9" s="43" t="inlineStr">
        <x:is>
          <x:t xml:space="preserve">Mini CRUD UI</x:t>
        </x:is>
      </x:c>
      <x:c r="L9" s="42" t="inlineStr">
        <x:is>
          <x:t xml:space="preserve">Sketch 3-tier architecture</x:t>
        </x:is>
      </x:c>
      <x:c r="M9" s="42" t="inlineStr">
        <x:is>
          <x:t xml:space="preserve">Push week-1 code and architecture sketch to Git</x:t>
        </x:is>
      </x:c>
      <x:c r="N9" s="44" t="inlineStr">
        <x:is>
          <x:t xml:space="preserve">Not Started</x:t>
        </x:is>
      </x:c>
      <x:c r="O9" s="45" t="n"/>
      <x:c r="P9" s="73">
        <x:f>IF(N9="Done",1,IF(N9="Review",0.75,IF(N9="In Progress",0.5,0)))</x:f>
        <x:v>0</x:v>
      </x:c>
      <x:c r="Q9" s="45" t="n"/>
      <x:c r="R9" s="47" t="n"/>
      <x:c r="S9" s="47" t="n"/>
      <x:c r="T9" s="48" t="n"/>
      <x:c r="U9" s="49">
        <x:f>IF(AND(N9&lt;&gt;"Done",N9&lt;&gt;"Skipped",E9&lt;&gt;"",TODAY()&gt;E9),"Overdue","")</x:f>
      </x:c>
      <x:c r="V9" s="74" t="n"/>
      <x:c r="W9" s="47" t="n"/>
    </x:row>
    <x:row r="10" s="11" customFormat="1" ht="34" customHeight="1">
      <x:c r="A10" s="41" t="n">
        <x:v>7</x:v>
      </x:c>
      <x:c r="B10" s="41" t="n">
        <x:v>1</x:v>
      </x:c>
      <x:c r="C10" s="41" t="inlineStr">
        <x:is>
          <x:t xml:space="preserve">Sun</x:t>
        </x:is>
      </x:c>
      <x:c r="D10" s="41" t="inlineStr">
        <x:is>
          <x:t xml:space="preserve">Weekend</x:t>
        </x:is>
      </x:c>
      <x:c r="E10" s="64">
        <x:f>IF(Dashboard!$B$5="","",Dashboard!$B$5+A10-1)</x:f>
        <x:v>46131</x:v>
      </x:c>
      <x:c r="F10" s="41" t="n">
        <x:v>8</x:v>
      </x:c>
      <x:c r="G10" s="42" t="inlineStr">
        <x:is>
          <x:t xml:space="preserve">Foundation: algorithm thinking, JVM, AWS account/core infra, React fundamentals, architect basics</x:t>
        </x:is>
      </x:c>
      <x:c r="H10" s="43" t="inlineStr">
        <x:is>
          <x:t xml:space="preserve">Weekly review + timed array set</x:t>
        </x:is>
      </x:c>
      <x:c r="I10" s="43" t="inlineStr">
        <x:is>
          <x:t xml:space="preserve">Build Java CLI utility for file parsing</x:t>
        </x:is>
      </x:c>
      <x:c r="J10" s="43" t="inlineStr">
        <x:is>
          <x:t xml:space="preserve">Host a static asset on S3</x:t>
        </x:is>
      </x:c>
      <x:c r="K10" s="43" t="inlineStr">
        <x:is>
          <x:t xml:space="preserve">Forms basics</x:t>
        </x:is>
      </x:c>
      <x:c r="L10" s="42" t="inlineStr">
        <x:is>
          <x:t xml:space="preserve">Weekly retrospective and gap list</x:t>
        </x:is>
      </x:c>
      <x:c r="M10" s="42" t="inlineStr">
        <x:is>
          <x:t xml:space="preserve">Write week-1 summary and weak-topic list</x:t>
        </x:is>
      </x:c>
      <x:c r="N10" s="44" t="inlineStr">
        <x:is>
          <x:t xml:space="preserve">Not Started</x:t>
        </x:is>
      </x:c>
      <x:c r="O10" s="45" t="n"/>
      <x:c r="P10" s="73">
        <x:f>IF(N10="Done",1,IF(N10="Review",0.75,IF(N10="In Progress",0.5,0)))</x:f>
        <x:v>0</x:v>
      </x:c>
      <x:c r="Q10" s="45" t="n"/>
      <x:c r="R10" s="47" t="n"/>
      <x:c r="S10" s="47" t="n"/>
      <x:c r="T10" s="48" t="n"/>
      <x:c r="U10" s="49">
        <x:f>IF(AND(N10&lt;&gt;"Done",N10&lt;&gt;"Skipped",E10&lt;&gt;"",TODAY()&gt;E10),"Overdue","")</x:f>
      </x:c>
      <x:c r="V10" s="74" t="n"/>
      <x:c r="W10" s="47" t="n"/>
    </x:row>
    <x:row r="11" s="11" customFormat="1" ht="34" customHeight="1">
      <x:c r="A11" s="41" t="n">
        <x:v>8</x:v>
      </x:c>
      <x:c r="B11" s="41" t="n">
        <x:v>2</x:v>
      </x:c>
      <x:c r="C11" s="41" t="inlineStr">
        <x:is>
          <x:t xml:space="preserve">Mon</x:t>
        </x:is>
      </x:c>
      <x:c r="D11" s="41" t="inlineStr">
        <x:is>
          <x:t xml:space="preserve">Weekday</x:t>
        </x:is>
      </x:c>
      <x:c r="E11" s="64">
        <x:f>IF(Dashboard!$B$5="","",Dashboard!$B$5+A11-1)</x:f>
        <x:v>46132</x:v>
      </x:c>
      <x:c r="F11" s="41" t="n">
        <x:v>5</x:v>
      </x:c>
      <x:c r="G11" s="42" t="inlineStr">
        <x:is>
          <x:t xml:space="preserve">Sliding window, generics/streams, VPC basics, routing/forms, API design</x:t>
        </x:is>
      </x:c>
      <x:c r="H11" s="43" t="inlineStr">
        <x:is>
          <x:t xml:space="preserve">Fixed sliding window</x:t>
        </x:is>
      </x:c>
      <x:c r="I11" s="43" t="inlineStr">
        <x:is>
          <x:t xml:space="preserve">Generics and type safety</x:t>
        </x:is>
      </x:c>
      <x:c r="J11" s="43" t="inlineStr">
        <x:is>
          <x:t xml:space="preserve">VPC, CIDR, public/private subnets</x:t>
        </x:is>
      </x:c>
      <x:c r="K11" s="43" t="inlineStr">
        <x:is>
          <x:t xml:space="preserve">React Router basics</x:t>
        </x:is>
      </x:c>
      <x:c r="L11" s="42" t="inlineStr">
        <x:is>
          <x:t xml:space="preserve">API resource modeling</x:t>
        </x:is>
      </x:c>
      <x:c r="M11" s="42" t="inlineStr">
        <x:is>
          <x:t xml:space="preserve">Build VPC with public/private subnet diagram</x:t>
        </x:is>
      </x:c>
      <x:c r="N11" s="44" t="inlineStr">
        <x:is>
          <x:t xml:space="preserve">Not Started</x:t>
        </x:is>
      </x:c>
      <x:c r="O11" s="45" t="n"/>
      <x:c r="P11" s="73">
        <x:f>IF(N11="Done",1,IF(N11="Review",0.75,IF(N11="In Progress",0.5,0)))</x:f>
        <x:v>0</x:v>
      </x:c>
      <x:c r="Q11" s="45" t="n"/>
      <x:c r="R11" s="47" t="n"/>
      <x:c r="S11" s="47" t="n"/>
      <x:c r="T11" s="48" t="n"/>
      <x:c r="U11" s="49">
        <x:f>IF(AND(N11&lt;&gt;"Done",N11&lt;&gt;"Skipped",E11&lt;&gt;"",TODAY()&gt;E11),"Overdue","")</x:f>
      </x:c>
      <x:c r="V11" s="74" t="n"/>
      <x:c r="W11" s="47" t="n"/>
    </x:row>
    <x:row r="12" s="11" customFormat="1" ht="34" customHeight="1">
      <x:c r="A12" s="41" t="n">
        <x:v>9</x:v>
      </x:c>
      <x:c r="B12" s="41" t="n">
        <x:v>2</x:v>
      </x:c>
      <x:c r="C12" s="41" t="inlineStr">
        <x:is>
          <x:t xml:space="preserve">Tue</x:t>
        </x:is>
      </x:c>
      <x:c r="D12" s="41" t="inlineStr">
        <x:is>
          <x:t xml:space="preserve">Weekday</x:t>
        </x:is>
      </x:c>
      <x:c r="E12" s="64">
        <x:f>IF(Dashboard!$B$5="","",Dashboard!$B$5+A12-1)</x:f>
        <x:v>46133</x:v>
      </x:c>
      <x:c r="F12" s="41" t="n">
        <x:v>5</x:v>
      </x:c>
      <x:c r="G12" s="42" t="inlineStr">
        <x:is>
          <x:t xml:space="preserve">Sliding window, generics/streams, VPC basics, routing/forms, API design</x:t>
        </x:is>
      </x:c>
      <x:c r="H12" s="43" t="inlineStr">
        <x:is>
          <x:t xml:space="preserve">Variable sliding window</x:t>
        </x:is>
      </x:c>
      <x:c r="I12" s="43" t="inlineStr">
        <x:is>
          <x:t xml:space="preserve">Functional interfaces and lambdas</x:t>
        </x:is>
      </x:c>
      <x:c r="J12" s="43" t="inlineStr">
        <x:is>
          <x:t xml:space="preserve">Route tables, internet gateway, NAT gateway</x:t>
        </x:is>
      </x:c>
      <x:c r="K12" s="43" t="inlineStr">
        <x:is>
          <x:t xml:space="preserve">Route params and nested routes</x:t>
        </x:is>
      </x:c>
      <x:c r="L12" s="42" t="inlineStr">
        <x:is>
          <x:t xml:space="preserve">REST constraints and idempotency</x:t>
        </x:is>
      </x:c>
      <x:c r="M12" s="42" t="inlineStr">
        <x:is>
          <x:t xml:space="preserve">Router-based mini app</x:t>
        </x:is>
      </x:c>
      <x:c r="N12" s="44" t="inlineStr">
        <x:is>
          <x:t xml:space="preserve">Not Started</x:t>
        </x:is>
      </x:c>
      <x:c r="O12" s="45" t="n"/>
      <x:c r="P12" s="73">
        <x:f>IF(N12="Done",1,IF(N12="Review",0.75,IF(N12="In Progress",0.5,0)))</x:f>
        <x:v>0</x:v>
      </x:c>
      <x:c r="Q12" s="45" t="n"/>
      <x:c r="R12" s="47" t="n"/>
      <x:c r="S12" s="47" t="n"/>
      <x:c r="T12" s="48" t="n"/>
      <x:c r="U12" s="49">
        <x:f>IF(AND(N12&lt;&gt;"Done",N12&lt;&gt;"Skipped",E12&lt;&gt;"",TODAY()&gt;E12),"Overdue","")</x:f>
      </x:c>
      <x:c r="V12" s="74" t="n"/>
      <x:c r="W12" s="47" t="n"/>
    </x:row>
    <x:row r="13" s="11" customFormat="1" ht="34" customHeight="1">
      <x:c r="A13" s="41" t="n">
        <x:v>10</x:v>
      </x:c>
      <x:c r="B13" s="41" t="n">
        <x:v>2</x:v>
      </x:c>
      <x:c r="C13" s="41" t="inlineStr">
        <x:is>
          <x:t xml:space="preserve">Wed</x:t>
        </x:is>
      </x:c>
      <x:c r="D13" s="41" t="inlineStr">
        <x:is>
          <x:t xml:space="preserve">Weekday</x:t>
        </x:is>
      </x:c>
      <x:c r="E13" s="64">
        <x:f>IF(Dashboard!$B$5="","",Dashboard!$B$5+A13-1)</x:f>
        <x:v>46134</x:v>
      </x:c>
      <x:c r="F13" s="41" t="n">
        <x:v>5</x:v>
      </x:c>
      <x:c r="G13" s="42" t="inlineStr">
        <x:is>
          <x:t xml:space="preserve">Sliding window, generics/streams, VPC basics, routing/forms, API design</x:t>
        </x:is>
      </x:c>
      <x:c r="H13" s="43" t="inlineStr">
        <x:is>
          <x:t xml:space="preserve">Longest substring without repeating</x:t>
        </x:is>
      </x:c>
      <x:c r="I13" s="43" t="inlineStr">
        <x:is>
          <x:t xml:space="preserve">Streams: map/filter/reduce</x:t>
        </x:is>
      </x:c>
      <x:c r="J13" s="43" t="inlineStr">
        <x:is>
          <x:t xml:space="preserve">NACL vs security groups</x:t>
        </x:is>
      </x:c>
      <x:c r="K13" s="43" t="inlineStr">
        <x:is>
          <x:t xml:space="preserve">Controlled forms</x:t>
        </x:is>
      </x:c>
      <x:c r="L13" s="42" t="inlineStr">
        <x:is>
          <x:t xml:space="preserve">HTTP methods, status codes, versioning</x:t>
        </x:is>
      </x:c>
      <x:c r="M13" s="42" t="inlineStr">
        <x:is>
          <x:t xml:space="preserve">Document one REST API contract</x:t>
        </x:is>
      </x:c>
      <x:c r="N13" s="44" t="inlineStr">
        <x:is>
          <x:t xml:space="preserve">Not Started</x:t>
        </x:is>
      </x:c>
      <x:c r="O13" s="45" t="n"/>
      <x:c r="P13" s="73">
        <x:f>IF(N13="Done",1,IF(N13="Review",0.75,IF(N13="In Progress",0.5,0)))</x:f>
        <x:v>0</x:v>
      </x:c>
      <x:c r="Q13" s="45" t="n"/>
      <x:c r="R13" s="47" t="n"/>
      <x:c r="S13" s="47" t="n"/>
      <x:c r="T13" s="48" t="n"/>
      <x:c r="U13" s="49">
        <x:f>IF(AND(N13&lt;&gt;"Done",N13&lt;&gt;"Skipped",E13&lt;&gt;"",TODAY()&gt;E13),"Overdue","")</x:f>
      </x:c>
      <x:c r="V13" s="74" t="n"/>
      <x:c r="W13" s="47" t="n"/>
    </x:row>
    <x:row r="14" s="11" customFormat="1" ht="34" customHeight="1">
      <x:c r="A14" s="41" t="n">
        <x:v>11</x:v>
      </x:c>
      <x:c r="B14" s="41" t="n">
        <x:v>2</x:v>
      </x:c>
      <x:c r="C14" s="41" t="inlineStr">
        <x:is>
          <x:t xml:space="preserve">Thu</x:t>
        </x:is>
      </x:c>
      <x:c r="D14" s="41" t="inlineStr">
        <x:is>
          <x:t xml:space="preserve">Weekday</x:t>
        </x:is>
      </x:c>
      <x:c r="E14" s="64">
        <x:f>IF(Dashboard!$B$5="","",Dashboard!$B$5+A14-1)</x:f>
        <x:v>46135</x:v>
      </x:c>
      <x:c r="F14" s="41" t="n">
        <x:v>5</x:v>
      </x:c>
      <x:c r="G14" s="42" t="inlineStr">
        <x:is>
          <x:t xml:space="preserve">Sliding window, generics/streams, VPC basics, routing/forms, API design</x:t>
        </x:is>
      </x:c>
      <x:c r="H14" s="43" t="inlineStr">
        <x:is>
          <x:t xml:space="preserve">Minimum window substring</x:t>
        </x:is>
      </x:c>
      <x:c r="I14" s="43" t="inlineStr">
        <x:is>
          <x:t xml:space="preserve">Optional and records</x:t>
        </x:is>
      </x:c>
      <x:c r="J14" s="43" t="inlineStr">
        <x:is>
          <x:t xml:space="preserve">Hands-on VPC lab</x:t>
        </x:is>
      </x:c>
      <x:c r="K14" s="43" t="inlineStr">
        <x:is>
          <x:t xml:space="preserve">Form validation patterns</x:t>
        </x:is>
      </x:c>
      <x:c r="L14" s="42" t="inlineStr">
        <x:is>
          <x:t xml:space="preserve">Pagination/filter/sort design</x:t>
        </x:is>
      </x:c>
      <x:c r="M14" s="42" t="inlineStr">
        <x:is>
          <x:t xml:space="preserve">Working VPC + notes</x:t>
        </x:is>
      </x:c>
      <x:c r="N14" s="44" t="inlineStr">
        <x:is>
          <x:t xml:space="preserve">Not Started</x:t>
        </x:is>
      </x:c>
      <x:c r="O14" s="45" t="n"/>
      <x:c r="P14" s="73">
        <x:f>IF(N14="Done",1,IF(N14="Review",0.75,IF(N14="In Progress",0.5,0)))</x:f>
        <x:v>0</x:v>
      </x:c>
      <x:c r="Q14" s="45" t="n"/>
      <x:c r="R14" s="47" t="n"/>
      <x:c r="S14" s="47" t="n"/>
      <x:c r="T14" s="48" t="n"/>
      <x:c r="U14" s="49">
        <x:f>IF(AND(N14&lt;&gt;"Done",N14&lt;&gt;"Skipped",E14&lt;&gt;"",TODAY()&gt;E14),"Overdue","")</x:f>
      </x:c>
      <x:c r="V14" s="74" t="n"/>
      <x:c r="W14" s="47" t="n"/>
    </x:row>
    <x:row r="15" s="11" customFormat="1" ht="34" customHeight="1">
      <x:c r="A15" s="41" t="n">
        <x:v>12</x:v>
      </x:c>
      <x:c r="B15" s="41" t="n">
        <x:v>2</x:v>
      </x:c>
      <x:c r="C15" s="41" t="inlineStr">
        <x:is>
          <x:t xml:space="preserve">Fri</x:t>
        </x:is>
      </x:c>
      <x:c r="D15" s="41" t="inlineStr">
        <x:is>
          <x:t xml:space="preserve">Weekday</x:t>
        </x:is>
      </x:c>
      <x:c r="E15" s="64">
        <x:f>IF(Dashboard!$B$5="","",Dashboard!$B$5+A15-1)</x:f>
        <x:v>46136</x:v>
      </x:c>
      <x:c r="F15" s="41" t="n">
        <x:v>5</x:v>
      </x:c>
      <x:c r="G15" s="42" t="inlineStr">
        <x:is>
          <x:t xml:space="preserve">Sliding window, generics/streams, VPC basics, routing/forms, API design</x:t>
        </x:is>
      </x:c>
      <x:c r="H15" s="43" t="inlineStr">
        <x:is>
          <x:t xml:space="preserve">Character replacement / permutation in string</x:t>
        </x:is>
      </x:c>
      <x:c r="I15" s="43" t="inlineStr">
        <x:is>
          <x:t xml:space="preserve">Exception handling and logging basics</x:t>
        </x:is>
      </x:c>
      <x:c r="J15" s="43" t="inlineStr">
        <x:is>
          <x:t xml:space="preserve">EC2 inside VPC + bastion or SSM concept</x:t>
        </x:is>
      </x:c>
      <x:c r="K15" s="43" t="inlineStr">
        <x:is>
          <x:t xml:space="preserve">Custom hooks</x:t>
        </x:is>
      </x:c>
      <x:c r="L15" s="42" t="inlineStr">
        <x:is>
          <x:t xml:space="preserve">Authentication basics and session vs token</x:t>
        </x:is>
      </x:c>
      <x:c r="M15" s="42" t="inlineStr">
        <x:is>
          <x:t xml:space="preserve">Hook for form state + API layer notes</x:t>
        </x:is>
      </x:c>
      <x:c r="N15" s="44" t="inlineStr">
        <x:is>
          <x:t xml:space="preserve">Not Started</x:t>
        </x:is>
      </x:c>
      <x:c r="O15" s="45" t="n"/>
      <x:c r="P15" s="73">
        <x:f>IF(N15="Done",1,IF(N15="Review",0.75,IF(N15="In Progress",0.5,0)))</x:f>
        <x:v>0</x:v>
      </x:c>
      <x:c r="Q15" s="45" t="n"/>
      <x:c r="R15" s="47" t="n"/>
      <x:c r="S15" s="47" t="n"/>
      <x:c r="T15" s="48" t="n"/>
      <x:c r="U15" s="49">
        <x:f>IF(AND(N15&lt;&gt;"Done",N15&lt;&gt;"Skipped",E15&lt;&gt;"",TODAY()&gt;E15),"Overdue","")</x:f>
      </x:c>
      <x:c r="V15" s="74" t="n"/>
      <x:c r="W15" s="47" t="n"/>
    </x:row>
    <x:row r="16" s="11" customFormat="1" ht="34" customHeight="1">
      <x:c r="A16" s="41" t="n">
        <x:v>13</x:v>
      </x:c>
      <x:c r="B16" s="41" t="n">
        <x:v>2</x:v>
      </x:c>
      <x:c r="C16" s="41" t="inlineStr">
        <x:is>
          <x:t xml:space="preserve">Sat</x:t>
        </x:is>
      </x:c>
      <x:c r="D16" s="41" t="inlineStr">
        <x:is>
          <x:t xml:space="preserve">Weekend</x:t>
        </x:is>
      </x:c>
      <x:c r="E16" s="64">
        <x:f>IF(Dashboard!$B$5="","",Dashboard!$B$5+A16-1)</x:f>
        <x:v>46137</x:v>
      </x:c>
      <x:c r="F16" s="41" t="n">
        <x:v>8</x:v>
      </x:c>
      <x:c r="G16" s="42" t="inlineStr">
        <x:is>
          <x:t xml:space="preserve">Sliding window, generics/streams, VPC basics, routing/forms, API design</x:t>
        </x:is>
      </x:c>
      <x:c r="H16" s="43" t="inlineStr">
        <x:is>
          <x:t xml:space="preserve">Weekend drill: 4 sliding-window problems</x:t>
        </x:is>
      </x:c>
      <x:c r="I16" s="43" t="inlineStr">
        <x:is>
          <x:t xml:space="preserve">Streams-based Java utility</x:t>
        </x:is>
      </x:c>
      <x:c r="J16" s="43" t="inlineStr">
        <x:is>
          <x:t xml:space="preserve">VPC end-to-end lab</x:t>
        </x:is>
      </x:c>
      <x:c r="K16" s="43" t="inlineStr">
        <x:is>
          <x:t xml:space="preserve">Router + forms mini app</x:t>
        </x:is>
      </x:c>
      <x:c r="L16" s="42" t="inlineStr">
        <x:is>
          <x:t xml:space="preserve">Architecture review: API design and auth choices</x:t>
        </x:is>
      </x:c>
      <x:c r="M16" s="42" t="inlineStr">
        <x:is>
          <x:t xml:space="preserve">Produce a short design note for a CRUD API</x:t>
        </x:is>
      </x:c>
      <x:c r="N16" s="44" t="inlineStr">
        <x:is>
          <x:t xml:space="preserve">Not Started</x:t>
        </x:is>
      </x:c>
      <x:c r="O16" s="45" t="n"/>
      <x:c r="P16" s="73">
        <x:f>IF(N16="Done",1,IF(N16="Review",0.75,IF(N16="In Progress",0.5,0)))</x:f>
        <x:v>0</x:v>
      </x:c>
      <x:c r="Q16" s="45" t="n"/>
      <x:c r="R16" s="47" t="n"/>
      <x:c r="S16" s="47" t="n"/>
      <x:c r="T16" s="48" t="n"/>
      <x:c r="U16" s="49">
        <x:f>IF(AND(N16&lt;&gt;"Done",N16&lt;&gt;"Skipped",E16&lt;&gt;"",TODAY()&gt;E16),"Overdue","")</x:f>
      </x:c>
      <x:c r="V16" s="74" t="n"/>
      <x:c r="W16" s="47" t="n"/>
    </x:row>
    <x:row r="17" s="11" customFormat="1" ht="34" customHeight="1">
      <x:c r="A17" s="41" t="n">
        <x:v>14</x:v>
      </x:c>
      <x:c r="B17" s="41" t="n">
        <x:v>2</x:v>
      </x:c>
      <x:c r="C17" s="41" t="inlineStr">
        <x:is>
          <x:t xml:space="preserve">Sun</x:t>
        </x:is>
      </x:c>
      <x:c r="D17" s="41" t="inlineStr">
        <x:is>
          <x:t xml:space="preserve">Weekend</x:t>
        </x:is>
      </x:c>
      <x:c r="E17" s="64">
        <x:f>IF(Dashboard!$B$5="","",Dashboard!$B$5+A17-1)</x:f>
        <x:v>46138</x:v>
      </x:c>
      <x:c r="F17" s="41" t="n">
        <x:v>8</x:v>
      </x:c>
      <x:c r="G17" s="42" t="inlineStr">
        <x:is>
          <x:t xml:space="preserve">Sliding window, generics/streams, VPC basics, routing/forms, API design</x:t>
        </x:is>
      </x:c>
      <x:c r="H17" s="43" t="inlineStr">
        <x:is>
          <x:t xml:space="preserve">Weekly review + timed mixed set</x:t>
        </x:is>
      </x:c>
      <x:c r="I17" s="43" t="inlineStr">
        <x:is>
          <x:t xml:space="preserve">Refactor with records/Optional</x:t>
        </x:is>
      </x:c>
      <x:c r="J17" s="43" t="inlineStr">
        <x:is>
          <x:t xml:space="preserve">Review IAM/VPC</x:t>
        </x:is>
      </x:c>
      <x:c r="K17" s="43" t="inlineStr">
        <x:is>
          <x:t xml:space="preserve">React refactor day</x:t>
        </x:is>
      </x:c>
      <x:c r="L17" s="42" t="inlineStr">
        <x:is>
          <x:t xml:space="preserve">Retrospective</x:t>
        </x:is>
      </x:c>
      <x:c r="M17" s="42" t="inlineStr">
        <x:is>
          <x:t xml:space="preserve">Update cheatsheets</x:t>
        </x:is>
      </x:c>
      <x:c r="N17" s="44" t="inlineStr">
        <x:is>
          <x:t xml:space="preserve">Not Started</x:t>
        </x:is>
      </x:c>
      <x:c r="O17" s="45" t="n"/>
      <x:c r="P17" s="73">
        <x:f>IF(N17="Done",1,IF(N17="Review",0.75,IF(N17="In Progress",0.5,0)))</x:f>
        <x:v>0</x:v>
      </x:c>
      <x:c r="Q17" s="45" t="n"/>
      <x:c r="R17" s="47" t="n"/>
      <x:c r="S17" s="47" t="n"/>
      <x:c r="T17" s="48" t="n"/>
      <x:c r="U17" s="49">
        <x:f>IF(AND(N17&lt;&gt;"Done",N17&lt;&gt;"Skipped",E17&lt;&gt;"",TODAY()&gt;E17),"Overdue","")</x:f>
      </x:c>
      <x:c r="V17" s="74" t="n"/>
      <x:c r="W17" s="47" t="n"/>
    </x:row>
    <x:row r="18" s="11" customFormat="1" ht="34" customHeight="1">
      <x:c r="A18" s="41" t="n">
        <x:v>15</x:v>
      </x:c>
      <x:c r="B18" s="41" t="n">
        <x:v>3</x:v>
      </x:c>
      <x:c r="C18" s="41" t="inlineStr">
        <x:is>
          <x:t xml:space="preserve">Mon</x:t>
        </x:is>
      </x:c>
      <x:c r="D18" s="41" t="inlineStr">
        <x:is>
          <x:t xml:space="preserve">Weekday</x:t>
        </x:is>
      </x:c>
      <x:c r="E18" s="64">
        <x:f>IF(Dashboard!$B$5="","",Dashboard!$B$5+A18-1)</x:f>
        <x:v>46139</x:v>
      </x:c>
      <x:c r="F18" s="41" t="n">
        <x:v>5</x:v>
      </x:c>
      <x:c r="G18" s="42" t="inlineStr">
        <x:is>
          <x:t xml:space="preserve">Two pointers/strings, concurrency, storage/RDS, state management, caching/data modeling</x:t>
        </x:is>
      </x:c>
      <x:c r="H18" s="43" t="inlineStr">
        <x:is>
          <x:t xml:space="preserve">Two pointers intro + valid palindrome</x:t>
        </x:is>
      </x:c>
      <x:c r="I18" s="43" t="inlineStr">
        <x:is>
          <x:t xml:space="preserve">Threads vs runnables</x:t>
        </x:is>
      </x:c>
      <x:c r="J18" s="43" t="inlineStr">
        <x:is>
          <x:t xml:space="preserve">S3 versioning, lifecycle, storage classes</x:t>
        </x:is>
      </x:c>
      <x:c r="K18" s="43" t="inlineStr">
        <x:is>
          <x:t xml:space="preserve">Context API</x:t>
        </x:is>
      </x:c>
      <x:c r="L18" s="42" t="inlineStr">
        <x:is>
          <x:t xml:space="preserve">Caching basics and cache-aside</x:t>
        </x:is>
      </x:c>
      <x:c r="M18" s="42" t="inlineStr">
        <x:is>
          <x:t xml:space="preserve">Lifecycle policy and Context demo</x:t>
        </x:is>
      </x:c>
      <x:c r="N18" s="44" t="inlineStr">
        <x:is>
          <x:t xml:space="preserve">Not Started</x:t>
        </x:is>
      </x:c>
      <x:c r="O18" s="45" t="n"/>
      <x:c r="P18" s="73">
        <x:f>IF(N18="Done",1,IF(N18="Review",0.75,IF(N18="In Progress",0.5,0)))</x:f>
        <x:v>0</x:v>
      </x:c>
      <x:c r="Q18" s="45" t="n"/>
      <x:c r="R18" s="47" t="n"/>
      <x:c r="S18" s="47" t="n"/>
      <x:c r="T18" s="48" t="n"/>
      <x:c r="U18" s="49">
        <x:f>IF(AND(N18&lt;&gt;"Done",N18&lt;&gt;"Skipped",E18&lt;&gt;"",TODAY()&gt;E18),"Overdue","")</x:f>
      </x:c>
      <x:c r="V18" s="74" t="n"/>
      <x:c r="W18" s="47" t="n"/>
    </x:row>
    <x:row r="19" s="11" customFormat="1" ht="34" customHeight="1">
      <x:c r="A19" s="41" t="n">
        <x:v>16</x:v>
      </x:c>
      <x:c r="B19" s="41" t="n">
        <x:v>3</x:v>
      </x:c>
      <x:c r="C19" s="41" t="inlineStr">
        <x:is>
          <x:t xml:space="preserve">Tue</x:t>
        </x:is>
      </x:c>
      <x:c r="D19" s="41" t="inlineStr">
        <x:is>
          <x:t xml:space="preserve">Weekday</x:t>
        </x:is>
      </x:c>
      <x:c r="E19" s="64">
        <x:f>IF(Dashboard!$B$5="","",Dashboard!$B$5+A19-1)</x:f>
        <x:v>46140</x:v>
      </x:c>
      <x:c r="F19" s="41" t="n">
        <x:v>5</x:v>
      </x:c>
      <x:c r="G19" s="42" t="inlineStr">
        <x:is>
          <x:t xml:space="preserve">Two pointers/strings, concurrency, storage/RDS, state management, caching/data modeling</x:t>
        </x:is>
      </x:c>
      <x:c r="H19" s="43" t="inlineStr">
        <x:is>
          <x:t xml:space="preserve">Container with most water / 3Sum pattern</x:t>
        </x:is>
      </x:c>
      <x:c r="I19" s="43" t="inlineStr">
        <x:is>
          <x:t xml:space="preserve">Thread lifecycle, synchronized, locks</x:t>
        </x:is>
      </x:c>
      <x:c r="J19" s="43" t="inlineStr">
        <x:is>
          <x:t xml:space="preserve">EBS volumes and snapshots</x:t>
        </x:is>
      </x:c>
      <x:c r="K19" s="43" t="inlineStr">
        <x:is>
          <x:t xml:space="preserve">useReducer</x:t>
        </x:is>
      </x:c>
      <x:c r="L19" s="42" t="inlineStr">
        <x:is>
          <x:t xml:space="preserve">Write-through vs write-back cache</x:t>
        </x:is>
      </x:c>
      <x:c r="M19" s="42" t="inlineStr">
        <x:is>
          <x:t xml:space="preserve">Notes on storage choices</x:t>
        </x:is>
      </x:c>
      <x:c r="N19" s="44" t="inlineStr">
        <x:is>
          <x:t xml:space="preserve">Not Started</x:t>
        </x:is>
      </x:c>
      <x:c r="O19" s="45" t="n"/>
      <x:c r="P19" s="73">
        <x:f>IF(N19="Done",1,IF(N19="Review",0.75,IF(N19="In Progress",0.5,0)))</x:f>
        <x:v>0</x:v>
      </x:c>
      <x:c r="Q19" s="45" t="n"/>
      <x:c r="R19" s="47" t="n"/>
      <x:c r="S19" s="47" t="n"/>
      <x:c r="T19" s="48" t="n"/>
      <x:c r="U19" s="49">
        <x:f>IF(AND(N19&lt;&gt;"Done",N19&lt;&gt;"Skipped",E19&lt;&gt;"",TODAY()&gt;E19),"Overdue","")</x:f>
      </x:c>
      <x:c r="V19" s="74" t="n"/>
      <x:c r="W19" s="47" t="n"/>
    </x:row>
    <x:row r="20" s="11" customFormat="1" ht="34" customHeight="1">
      <x:c r="A20" s="41" t="n">
        <x:v>17</x:v>
      </x:c>
      <x:c r="B20" s="41" t="n">
        <x:v>3</x:v>
      </x:c>
      <x:c r="C20" s="41" t="inlineStr">
        <x:is>
          <x:t xml:space="preserve">Wed</x:t>
        </x:is>
      </x:c>
      <x:c r="D20" s="41" t="inlineStr">
        <x:is>
          <x:t xml:space="preserve">Weekday</x:t>
        </x:is>
      </x:c>
      <x:c r="E20" s="64">
        <x:f>IF(Dashboard!$B$5="","",Dashboard!$B$5+A20-1)</x:f>
        <x:v>46141</x:v>
      </x:c>
      <x:c r="F20" s="41" t="n">
        <x:v>5</x:v>
      </x:c>
      <x:c r="G20" s="42" t="inlineStr">
        <x:is>
          <x:t xml:space="preserve">Two pointers/strings, concurrency, storage/RDS, state management, caching/data modeling</x:t>
        </x:is>
      </x:c>
      <x:c r="H20" s="43" t="inlineStr">
        <x:is>
          <x:t xml:space="preserve">Fast/slow pointers</x:t>
        </x:is>
      </x:c>
      <x:c r="I20" s="43" t="inlineStr">
        <x:is>
          <x:t xml:space="preserve">volatile, race conditions</x:t>
        </x:is>
      </x:c>
      <x:c r="J20" s="43" t="inlineStr">
        <x:is>
          <x:t xml:space="preserve">EFS basics and use cases</x:t>
        </x:is>
      </x:c>
      <x:c r="K20" s="43" t="inlineStr">
        <x:is>
          <x:t xml:space="preserve">Redux basics</x:t>
        </x:is>
      </x:c>
      <x:c r="L20" s="42" t="inlineStr">
        <x:is>
          <x:t xml:space="preserve">SQL vs NoSQL decision factors</x:t>
        </x:is>
      </x:c>
      <x:c r="M20" s="42" t="inlineStr">
        <x:is>
          <x:t xml:space="preserve">Redux starter app</x:t>
        </x:is>
      </x:c>
      <x:c r="N20" s="44" t="inlineStr">
        <x:is>
          <x:t xml:space="preserve">Not Started</x:t>
        </x:is>
      </x:c>
      <x:c r="O20" s="45" t="n"/>
      <x:c r="P20" s="73">
        <x:f>IF(N20="Done",1,IF(N20="Review",0.75,IF(N20="In Progress",0.5,0)))</x:f>
        <x:v>0</x:v>
      </x:c>
      <x:c r="Q20" s="45" t="n"/>
      <x:c r="R20" s="47" t="n"/>
      <x:c r="S20" s="47" t="n"/>
      <x:c r="T20" s="48" t="n"/>
      <x:c r="U20" s="49">
        <x:f>IF(AND(N20&lt;&gt;"Done",N20&lt;&gt;"Skipped",E20&lt;&gt;"",TODAY()&gt;E20),"Overdue","")</x:f>
      </x:c>
      <x:c r="V20" s="74" t="n"/>
      <x:c r="W20" s="47" t="n"/>
    </x:row>
    <x:row r="21" s="11" customFormat="1" ht="34" customHeight="1">
      <x:c r="A21" s="41" t="n">
        <x:v>18</x:v>
      </x:c>
      <x:c r="B21" s="41" t="n">
        <x:v>3</x:v>
      </x:c>
      <x:c r="C21" s="41" t="inlineStr">
        <x:is>
          <x:t xml:space="preserve">Thu</x:t>
        </x:is>
      </x:c>
      <x:c r="D21" s="41" t="inlineStr">
        <x:is>
          <x:t xml:space="preserve">Weekday</x:t>
        </x:is>
      </x:c>
      <x:c r="E21" s="64">
        <x:f>IF(Dashboard!$B$5="","",Dashboard!$B$5+A21-1)</x:f>
        <x:v>46142</x:v>
      </x:c>
      <x:c r="F21" s="41" t="n">
        <x:v>5</x:v>
      </x:c>
      <x:c r="G21" s="42" t="inlineStr">
        <x:is>
          <x:t xml:space="preserve">Two pointers/strings, concurrency, storage/RDS, state management, caching/data modeling</x:t>
        </x:is>
      </x:c>
      <x:c r="H21" s="43" t="inlineStr">
        <x:is>
          <x:t xml:space="preserve">String frequency/anagram/grouping patterns</x:t>
        </x:is>
      </x:c>
      <x:c r="I21" s="43" t="inlineStr">
        <x:is>
          <x:t xml:space="preserve">ExecutorService and Future</x:t>
        </x:is>
      </x:c>
      <x:c r="J21" s="43" t="inlineStr">
        <x:is>
          <x:t xml:space="preserve">RDS basics, engines, backups</x:t>
        </x:is>
      </x:c>
      <x:c r="K21" s="43" t="inlineStr">
        <x:is>
          <x:t xml:space="preserve">Redux Toolkit</x:t>
        </x:is>
      </x:c>
      <x:c r="L21" s="42" t="inlineStr">
        <x:is>
          <x:t xml:space="preserve">ER modeling and normalization</x:t>
        </x:is>
      </x:c>
      <x:c r="M21" s="42" t="inlineStr">
        <x:is>
          <x:t xml:space="preserve">Provision RDS and connect from app</x:t>
        </x:is>
      </x:c>
      <x:c r="N21" s="44" t="inlineStr">
        <x:is>
          <x:t xml:space="preserve">Not Started</x:t>
        </x:is>
      </x:c>
      <x:c r="O21" s="45" t="n"/>
      <x:c r="P21" s="73">
        <x:f>IF(N21="Done",1,IF(N21="Review",0.75,IF(N21="In Progress",0.5,0)))</x:f>
        <x:v>0</x:v>
      </x:c>
      <x:c r="Q21" s="45" t="n"/>
      <x:c r="R21" s="47" t="n"/>
      <x:c r="S21" s="47" t="n"/>
      <x:c r="T21" s="48" t="n"/>
      <x:c r="U21" s="49">
        <x:f>IF(AND(N21&lt;&gt;"Done",N21&lt;&gt;"Skipped",E21&lt;&gt;"",TODAY()&gt;E21),"Overdue","")</x:f>
      </x:c>
      <x:c r="V21" s="74" t="n"/>
      <x:c r="W21" s="47" t="n"/>
    </x:row>
    <x:row r="22" s="11" customFormat="1" ht="34" customHeight="1">
      <x:c r="A22" s="41" t="n">
        <x:v>19</x:v>
      </x:c>
      <x:c r="B22" s="41" t="n">
        <x:v>3</x:v>
      </x:c>
      <x:c r="C22" s="41" t="inlineStr">
        <x:is>
          <x:t xml:space="preserve">Fri</x:t>
        </x:is>
      </x:c>
      <x:c r="D22" s="41" t="inlineStr">
        <x:is>
          <x:t xml:space="preserve">Weekday</x:t>
        </x:is>
      </x:c>
      <x:c r="E22" s="64">
        <x:f>IF(Dashboard!$B$5="","",Dashboard!$B$5+A22-1)</x:f>
        <x:v>46143</x:v>
      </x:c>
      <x:c r="F22" s="41" t="n">
        <x:v>5</x:v>
      </x:c>
      <x:c r="G22" s="42" t="inlineStr">
        <x:is>
          <x:t xml:space="preserve">Two pointers/strings, concurrency, storage/RDS, state management, caching/data modeling</x:t>
        </x:is>
      </x:c>
      <x:c r="H22" s="43" t="inlineStr">
        <x:is>
          <x:t xml:space="preserve">Longest palindromic substring / string manipulation</x:t>
        </x:is>
      </x:c>
      <x:c r="I22" s="43" t="inlineStr">
        <x:is>
          <x:t xml:space="preserve">CompletableFuture intro</x:t>
        </x:is>
      </x:c>
      <x:c r="J22" s="43" t="inlineStr">
        <x:is>
          <x:t xml:space="preserve">Read replicas and multi-AZ concept</x:t>
        </x:is>
      </x:c>
      <x:c r="K22" s="43" t="inlineStr">
        <x:is>
          <x:t xml:space="preserve">Async thunks or RTK Query</x:t>
        </x:is>
      </x:c>
      <x:c r="L22" s="42" t="inlineStr">
        <x:is>
          <x:t xml:space="preserve">Indexes and query design basics</x:t>
        </x:is>
      </x:c>
      <x:c r="M22" s="42" t="inlineStr">
        <x:is>
          <x:t xml:space="preserve">Document DB trade-offs</x:t>
        </x:is>
      </x:c>
      <x:c r="N22" s="44" t="inlineStr">
        <x:is>
          <x:t xml:space="preserve">Not Started</x:t>
        </x:is>
      </x:c>
      <x:c r="O22" s="45" t="n"/>
      <x:c r="P22" s="73">
        <x:f>IF(N22="Done",1,IF(N22="Review",0.75,IF(N22="In Progress",0.5,0)))</x:f>
        <x:v>0</x:v>
      </x:c>
      <x:c r="Q22" s="45" t="n"/>
      <x:c r="R22" s="47" t="n"/>
      <x:c r="S22" s="47" t="n"/>
      <x:c r="T22" s="48" t="n"/>
      <x:c r="U22" s="49">
        <x:f>IF(AND(N22&lt;&gt;"Done",N22&lt;&gt;"Skipped",E22&lt;&gt;"",TODAY()&gt;E22),"Overdue","")</x:f>
      </x:c>
      <x:c r="V22" s="74" t="n"/>
      <x:c r="W22" s="47" t="n"/>
    </x:row>
    <x:row r="23" s="11" customFormat="1" ht="34" customHeight="1">
      <x:c r="A23" s="41" t="n">
        <x:v>20</x:v>
      </x:c>
      <x:c r="B23" s="41" t="n">
        <x:v>3</x:v>
      </x:c>
      <x:c r="C23" s="41" t="inlineStr">
        <x:is>
          <x:t xml:space="preserve">Sat</x:t>
        </x:is>
      </x:c>
      <x:c r="D23" s="41" t="inlineStr">
        <x:is>
          <x:t xml:space="preserve">Weekend</x:t>
        </x:is>
      </x:c>
      <x:c r="E23" s="64">
        <x:f>IF(Dashboard!$B$5="","",Dashboard!$B$5+A23-1)</x:f>
        <x:v>46144</x:v>
      </x:c>
      <x:c r="F23" s="41" t="n">
        <x:v>8</x:v>
      </x:c>
      <x:c r="G23" s="42" t="inlineStr">
        <x:is>
          <x:t xml:space="preserve">Two pointers/strings, concurrency, storage/RDS, state management, caching/data modeling</x:t>
        </x:is>
      </x:c>
      <x:c r="H23" s="43" t="inlineStr">
        <x:is>
          <x:t xml:space="preserve">Weekend drill: 4 pointer/string problems</x:t>
        </x:is>
      </x:c>
      <x:c r="I23" s="43" t="inlineStr">
        <x:is>
          <x:t xml:space="preserve">Concurrent file processor</x:t>
        </x:is>
      </x:c>
      <x:c r="J23" s="43" t="inlineStr">
        <x:is>
          <x:t xml:space="preserve">RDS hands-on + schema</x:t>
        </x:is>
      </x:c>
      <x:c r="K23" s="43" t="inlineStr">
        <x:is>
          <x:t xml:space="preserve">Redux app feature</x:t>
        </x:is>
      </x:c>
      <x:c r="L23" s="42" t="inlineStr">
        <x:is>
          <x:t xml:space="preserve">Database design exercise</x:t>
        </x:is>
      </x:c>
      <x:c r="M23" s="42" t="inlineStr">
        <x:is>
          <x:t xml:space="preserve">Small backend + DB + UI demo</x:t>
        </x:is>
      </x:c>
      <x:c r="N23" s="44" t="inlineStr">
        <x:is>
          <x:t xml:space="preserve">Not Started</x:t>
        </x:is>
      </x:c>
      <x:c r="O23" s="45" t="n"/>
      <x:c r="P23" s="73">
        <x:f>IF(N23="Done",1,IF(N23="Review",0.75,IF(N23="In Progress",0.5,0)))</x:f>
        <x:v>0</x:v>
      </x:c>
      <x:c r="Q23" s="45" t="n"/>
      <x:c r="R23" s="47" t="n"/>
      <x:c r="S23" s="47" t="n"/>
      <x:c r="T23" s="48" t="n"/>
      <x:c r="U23" s="49">
        <x:f>IF(AND(N23&lt;&gt;"Done",N23&lt;&gt;"Skipped",E23&lt;&gt;"",TODAY()&gt;E23),"Overdue","")</x:f>
      </x:c>
      <x:c r="V23" s="74" t="n"/>
      <x:c r="W23" s="47" t="n"/>
    </x:row>
    <x:row r="24" s="11" customFormat="1" ht="34" customHeight="1">
      <x:c r="A24" s="41" t="n">
        <x:v>21</x:v>
      </x:c>
      <x:c r="B24" s="41" t="n">
        <x:v>3</x:v>
      </x:c>
      <x:c r="C24" s="41" t="inlineStr">
        <x:is>
          <x:t xml:space="preserve">Sun</x:t>
        </x:is>
      </x:c>
      <x:c r="D24" s="41" t="inlineStr">
        <x:is>
          <x:t xml:space="preserve">Weekend</x:t>
        </x:is>
      </x:c>
      <x:c r="E24" s="64">
        <x:f>IF(Dashboard!$B$5="","",Dashboard!$B$5+A24-1)</x:f>
        <x:v>46145</x:v>
      </x:c>
      <x:c r="F24" s="41" t="n">
        <x:v>8</x:v>
      </x:c>
      <x:c r="G24" s="42" t="inlineStr">
        <x:is>
          <x:t xml:space="preserve">Two pointers/strings, concurrency, storage/RDS, state management, caching/data modeling</x:t>
        </x:is>
      </x:c>
      <x:c r="H24" s="43" t="inlineStr">
        <x:is>
          <x:t xml:space="preserve">Weekly review + timed set</x:t>
        </x:is>
      </x:c>
      <x:c r="I24" s="43" t="inlineStr">
        <x:is>
          <x:t xml:space="preserve">Concurrency notes cleanup</x:t>
        </x:is>
      </x:c>
      <x:c r="J24" s="43" t="inlineStr">
        <x:is>
          <x:t xml:space="preserve">Storage recap</x:t>
        </x:is>
      </x:c>
      <x:c r="K24" s="43" t="inlineStr">
        <x:is>
          <x:t xml:space="preserve">State-management recap</x:t>
        </x:is>
      </x:c>
      <x:c r="L24" s="42" t="inlineStr">
        <x:is>
          <x:t xml:space="preserve">Retrospective</x:t>
        </x:is>
      </x:c>
      <x:c r="M24" s="42" t="inlineStr">
        <x:is>
          <x:t xml:space="preserve">Update cheatsheets</x:t>
        </x:is>
      </x:c>
      <x:c r="N24" s="44" t="inlineStr">
        <x:is>
          <x:t xml:space="preserve">Not Started</x:t>
        </x:is>
      </x:c>
      <x:c r="O24" s="45" t="n"/>
      <x:c r="P24" s="73">
        <x:f>IF(N24="Done",1,IF(N24="Review",0.75,IF(N24="In Progress",0.5,0)))</x:f>
        <x:v>0</x:v>
      </x:c>
      <x:c r="Q24" s="45" t="n"/>
      <x:c r="R24" s="47" t="n"/>
      <x:c r="S24" s="47" t="n"/>
      <x:c r="T24" s="48" t="n"/>
      <x:c r="U24" s="49">
        <x:f>IF(AND(N24&lt;&gt;"Done",N24&lt;&gt;"Skipped",E24&lt;&gt;"",TODAY()&gt;E24),"Overdue","")</x:f>
      </x:c>
      <x:c r="V24" s="74" t="n"/>
      <x:c r="W24" s="47" t="n"/>
    </x:row>
    <x:row r="25" s="11" customFormat="1" ht="34" customHeight="1">
      <x:c r="A25" s="41" t="n">
        <x:v>22</x:v>
      </x:c>
      <x:c r="B25" s="41" t="n">
        <x:v>4</x:v>
      </x:c>
      <x:c r="C25" s="41" t="inlineStr">
        <x:is>
          <x:t xml:space="preserve">Mon</x:t>
        </x:is>
      </x:c>
      <x:c r="D25" s="41" t="inlineStr">
        <x:is>
          <x:t xml:space="preserve">Weekday</x:t>
        </x:is>
      </x:c>
      <x:c r="E25" s="64">
        <x:f>IF(Dashboard!$B$5="","",Dashboard!$B$5+A25-1)</x:f>
        <x:v>46146</x:v>
      </x:c>
      <x:c r="F25" s="41" t="n">
        <x:v>5</x:v>
      </x:c>
      <x:c r="G25" s="42" t="inlineStr">
        <x:is>
          <x:t xml:space="preserve">Binary search/sorting/intervals, modern Java, RDS vs DynamoDB, API integration, load balancing/data scale</x:t>
        </x:is>
      </x:c>
      <x:c r="H25" s="43" t="inlineStr">
        <x:is>
          <x:t xml:space="preserve">Binary search basics</x:t>
        </x:is>
      </x:c>
      <x:c r="I25" s="43" t="inlineStr">
        <x:is>
          <x:t xml:space="preserve">CompletableFuture chaining</x:t>
        </x:is>
      </x:c>
      <x:c r="J25" s="43" t="inlineStr">
        <x:is>
          <x:t xml:space="preserve">DynamoDB intro</x:t>
        </x:is>
      </x:c>
      <x:c r="K25" s="43" t="inlineStr">
        <x:is>
          <x:t xml:space="preserve">Fetch/Axios basics</x:t>
        </x:is>
      </x:c>
      <x:c r="L25" s="42" t="inlineStr">
        <x:is>
          <x:t xml:space="preserve">Load balancing fundamentals</x:t>
        </x:is>
      </x:c>
      <x:c r="M25" s="42" t="inlineStr">
        <x:is>
          <x:t xml:space="preserve">Call API from React app</x:t>
        </x:is>
      </x:c>
      <x:c r="N25" s="44" t="inlineStr">
        <x:is>
          <x:t xml:space="preserve">Not Started</x:t>
        </x:is>
      </x:c>
      <x:c r="O25" s="45" t="n"/>
      <x:c r="P25" s="73">
        <x:f>IF(N25="Done",1,IF(N25="Review",0.75,IF(N25="In Progress",0.5,0)))</x:f>
        <x:v>0</x:v>
      </x:c>
      <x:c r="Q25" s="45" t="n"/>
      <x:c r="R25" s="47" t="n"/>
      <x:c r="S25" s="47" t="n"/>
      <x:c r="T25" s="48" t="n"/>
      <x:c r="U25" s="49">
        <x:f>IF(AND(N25&lt;&gt;"Done",N25&lt;&gt;"Skipped",E25&lt;&gt;"",TODAY()&gt;E25),"Overdue","")</x:f>
      </x:c>
      <x:c r="V25" s="74" t="n"/>
      <x:c r="W25" s="47" t="n"/>
    </x:row>
    <x:row r="26" s="11" customFormat="1" ht="34" customHeight="1">
      <x:c r="A26" s="41" t="n">
        <x:v>23</x:v>
      </x:c>
      <x:c r="B26" s="41" t="n">
        <x:v>4</x:v>
      </x:c>
      <x:c r="C26" s="41" t="inlineStr">
        <x:is>
          <x:t xml:space="preserve">Tue</x:t>
        </x:is>
      </x:c>
      <x:c r="D26" s="41" t="inlineStr">
        <x:is>
          <x:t xml:space="preserve">Weekday</x:t>
        </x:is>
      </x:c>
      <x:c r="E26" s="64">
        <x:f>IF(Dashboard!$B$5="","",Dashboard!$B$5+A26-1)</x:f>
        <x:v>46147</x:v>
      </x:c>
      <x:c r="F26" s="41" t="n">
        <x:v>5</x:v>
      </x:c>
      <x:c r="G26" s="42" t="inlineStr">
        <x:is>
          <x:t xml:space="preserve">Binary search/sorting/intervals, modern Java, RDS vs DynamoDB, API integration, load balancing/data scale</x:t>
        </x:is>
      </x:c>
      <x:c r="H26" s="43" t="inlineStr">
        <x:is>
          <x:t xml:space="preserve">Search insert / first-last position</x:t>
        </x:is>
      </x:c>
      <x:c r="I26" s="43" t="inlineStr">
        <x:is>
          <x:t xml:space="preserve">Parallel streams and benchmarking</x:t>
        </x:is>
      </x:c>
      <x:c r="J26" s="43" t="inlineStr">
        <x:is>
          <x:t xml:space="preserve">DynamoDB partition key/sort key</x:t>
        </x:is>
      </x:c>
      <x:c r="K26" s="43" t="inlineStr">
        <x:is>
          <x:t xml:space="preserve">Loading and error states</x:t>
        </x:is>
      </x:c>
      <x:c r="L26" s="42" t="inlineStr">
        <x:is>
          <x:t xml:space="preserve">Horizontal scaling and statelessness</x:t>
        </x:is>
      </x:c>
      <x:c r="M26" s="42" t="inlineStr">
        <x:is>
          <x:t xml:space="preserve">Write API client wrapper</x:t>
        </x:is>
      </x:c>
      <x:c r="N26" s="44" t="inlineStr">
        <x:is>
          <x:t xml:space="preserve">Not Started</x:t>
        </x:is>
      </x:c>
      <x:c r="O26" s="45" t="n"/>
      <x:c r="P26" s="73">
        <x:f>IF(N26="Done",1,IF(N26="Review",0.75,IF(N26="In Progress",0.5,0)))</x:f>
        <x:v>0</x:v>
      </x:c>
      <x:c r="Q26" s="45" t="n"/>
      <x:c r="R26" s="47" t="n"/>
      <x:c r="S26" s="47" t="n"/>
      <x:c r="T26" s="48" t="n"/>
      <x:c r="U26" s="49">
        <x:f>IF(AND(N26&lt;&gt;"Done",N26&lt;&gt;"Skipped",E26&lt;&gt;"",TODAY()&gt;E26),"Overdue","")</x:f>
      </x:c>
      <x:c r="V26" s="74" t="n"/>
      <x:c r="W26" s="47" t="n"/>
    </x:row>
    <x:row r="27" s="11" customFormat="1" ht="34" customHeight="1">
      <x:c r="A27" s="41" t="n">
        <x:v>24</x:v>
      </x:c>
      <x:c r="B27" s="41" t="n">
        <x:v>4</x:v>
      </x:c>
      <x:c r="C27" s="41" t="inlineStr">
        <x:is>
          <x:t xml:space="preserve">Wed</x:t>
        </x:is>
      </x:c>
      <x:c r="D27" s="41" t="inlineStr">
        <x:is>
          <x:t xml:space="preserve">Weekday</x:t>
        </x:is>
      </x:c>
      <x:c r="E27" s="64">
        <x:f>IF(Dashboard!$B$5="","",Dashboard!$B$5+A27-1)</x:f>
        <x:v>46148</x:v>
      </x:c>
      <x:c r="F27" s="41" t="n">
        <x:v>5</x:v>
      </x:c>
      <x:c r="G27" s="42" t="inlineStr">
        <x:is>
          <x:t xml:space="preserve">Binary search/sorting/intervals, modern Java, RDS vs DynamoDB, API integration, load balancing/data scale</x:t>
        </x:is>
      </x:c>
      <x:c r="H27" s="43" t="inlineStr">
        <x:is>
          <x:t xml:space="preserve">Search in rotated sorted array</x:t>
        </x:is>
      </x:c>
      <x:c r="I27" s="43" t="inlineStr">
        <x:is>
          <x:t xml:space="preserve">Java 21 virtual threads overview</x:t>
        </x:is>
      </x:c>
      <x:c r="J27" s="43" t="inlineStr">
        <x:is>
          <x:t xml:space="preserve">GSI/LSI and capacity modes</x:t>
        </x:is>
      </x:c>
      <x:c r="K27" s="43" t="inlineStr">
        <x:is>
          <x:t xml:space="preserve">Interceptors / reusable API layer</x:t>
        </x:is>
      </x:c>
      <x:c r="L27" s="42" t="inlineStr">
        <x:is>
          <x:t xml:space="preserve">Partitioning and sharding basics</x:t>
        </x:is>
      </x:c>
      <x:c r="M27" s="42" t="inlineStr">
        <x:is>
          <x:t xml:space="preserve">Compare virtual threads vs pool notes</x:t>
        </x:is>
      </x:c>
      <x:c r="N27" s="44" t="inlineStr">
        <x:is>
          <x:t xml:space="preserve">Not Started</x:t>
        </x:is>
      </x:c>
      <x:c r="O27" s="45" t="n"/>
      <x:c r="P27" s="73">
        <x:f>IF(N27="Done",1,IF(N27="Review",0.75,IF(N27="In Progress",0.5,0)))</x:f>
        <x:v>0</x:v>
      </x:c>
      <x:c r="Q27" s="45" t="n"/>
      <x:c r="R27" s="47" t="n"/>
      <x:c r="S27" s="47" t="n"/>
      <x:c r="T27" s="48" t="n"/>
      <x:c r="U27" s="49">
        <x:f>IF(AND(N27&lt;&gt;"Done",N27&lt;&gt;"Skipped",E27&lt;&gt;"",TODAY()&gt;E27),"Overdue","")</x:f>
      </x:c>
      <x:c r="V27" s="74" t="n"/>
      <x:c r="W27" s="47" t="n"/>
    </x:row>
    <x:row r="28" s="11" customFormat="1" ht="34" customHeight="1">
      <x:c r="A28" s="41" t="n">
        <x:v>25</x:v>
      </x:c>
      <x:c r="B28" s="41" t="n">
        <x:v>4</x:v>
      </x:c>
      <x:c r="C28" s="41" t="inlineStr">
        <x:is>
          <x:t xml:space="preserve">Thu</x:t>
        </x:is>
      </x:c>
      <x:c r="D28" s="41" t="inlineStr">
        <x:is>
          <x:t xml:space="preserve">Weekday</x:t>
        </x:is>
      </x:c>
      <x:c r="E28" s="64">
        <x:f>IF(Dashboard!$B$5="","",Dashboard!$B$5+A28-1)</x:f>
        <x:v>46149</x:v>
      </x:c>
      <x:c r="F28" s="41" t="n">
        <x:v>5</x:v>
      </x:c>
      <x:c r="G28" s="42" t="inlineStr">
        <x:is>
          <x:t xml:space="preserve">Binary search/sorting/intervals, modern Java, RDS vs DynamoDB, API integration, load balancing/data scale</x:t>
        </x:is>
      </x:c>
      <x:c r="H28" s="43" t="inlineStr">
        <x:is>
          <x:t xml:space="preserve">Sorting fundamentals + comparator</x:t>
        </x:is>
      </x:c>
      <x:c r="I28" s="43" t="inlineStr">
        <x:is>
          <x:t xml:space="preserve">Sealed classes, pattern matching refresher</x:t>
        </x:is>
      </x:c>
      <x:c r="J28" s="43" t="inlineStr">
        <x:is>
          <x:t xml:space="preserve">RDS vs DynamoDB decision lab</x:t>
        </x:is>
      </x:c>
      <x:c r="K28" s="43" t="inlineStr">
        <x:is>
          <x:t xml:space="preserve">Pagination / infinite scroll</x:t>
        </x:is>
      </x:c>
      <x:c r="L28" s="42" t="inlineStr">
        <x:is>
          <x:t xml:space="preserve">Consistency models and read/write trade-offs</x:t>
        </x:is>
      </x:c>
      <x:c r="M28" s="42" t="inlineStr">
        <x:is>
          <x:t xml:space="preserve">Decision matrix for DB choice</x:t>
        </x:is>
      </x:c>
      <x:c r="N28" s="44" t="inlineStr">
        <x:is>
          <x:t xml:space="preserve">Not Started</x:t>
        </x:is>
      </x:c>
      <x:c r="O28" s="45" t="n"/>
      <x:c r="P28" s="73">
        <x:f>IF(N28="Done",1,IF(N28="Review",0.75,IF(N28="In Progress",0.5,0)))</x:f>
        <x:v>0</x:v>
      </x:c>
      <x:c r="Q28" s="45" t="n"/>
      <x:c r="R28" s="47" t="n"/>
      <x:c r="S28" s="47" t="n"/>
      <x:c r="T28" s="48" t="n"/>
      <x:c r="U28" s="49">
        <x:f>IF(AND(N28&lt;&gt;"Done",N28&lt;&gt;"Skipped",E28&lt;&gt;"",TODAY()&gt;E28),"Overdue","")</x:f>
      </x:c>
      <x:c r="V28" s="74" t="n"/>
      <x:c r="W28" s="47" t="n"/>
    </x:row>
    <x:row r="29" s="11" customFormat="1" ht="34" customHeight="1">
      <x:c r="A29" s="41" t="n">
        <x:v>26</x:v>
      </x:c>
      <x:c r="B29" s="41" t="n">
        <x:v>4</x:v>
      </x:c>
      <x:c r="C29" s="41" t="inlineStr">
        <x:is>
          <x:t xml:space="preserve">Fri</x:t>
        </x:is>
      </x:c>
      <x:c r="D29" s="41" t="inlineStr">
        <x:is>
          <x:t xml:space="preserve">Weekday</x:t>
        </x:is>
      </x:c>
      <x:c r="E29" s="64">
        <x:f>IF(Dashboard!$B$5="","",Dashboard!$B$5+A29-1)</x:f>
        <x:v>46150</x:v>
      </x:c>
      <x:c r="F29" s="41" t="n">
        <x:v>5</x:v>
      </x:c>
      <x:c r="G29" s="42" t="inlineStr">
        <x:is>
          <x:t xml:space="preserve">Binary search/sorting/intervals, modern Java, RDS vs DynamoDB, API integration, load balancing/data scale</x:t>
        </x:is>
      </x:c>
      <x:c r="H29" s="43" t="inlineStr">
        <x:is>
          <x:t xml:space="preserve">Merge intervals intro</x:t>
        </x:is>
      </x:c>
      <x:c r="I29" s="43" t="inlineStr">
        <x:is>
          <x:t xml:space="preserve">JUnit 5 and Mockito basics</x:t>
        </x:is>
      </x:c>
      <x:c r="J29" s="43" t="inlineStr">
        <x:is>
          <x:t xml:space="preserve">Database backup/restore review</x:t>
        </x:is>
      </x:c>
      <x:c r="K29" s="43" t="inlineStr">
        <x:is>
          <x:t xml:space="preserve">Environment configs and feature flags intro</x:t>
        </x:is>
      </x:c>
      <x:c r="L29" s="42" t="inlineStr">
        <x:is>
          <x:t xml:space="preserve">Database scaling patterns</x:t>
        </x:is>
      </x:c>
      <x:c r="M29" s="42" t="inlineStr">
        <x:is>
          <x:t xml:space="preserve">Tests added to Java service</x:t>
        </x:is>
      </x:c>
      <x:c r="N29" s="44" t="inlineStr">
        <x:is>
          <x:t xml:space="preserve">Not Started</x:t>
        </x:is>
      </x:c>
      <x:c r="O29" s="45" t="n"/>
      <x:c r="P29" s="73">
        <x:f>IF(N29="Done",1,IF(N29="Review",0.75,IF(N29="In Progress",0.5,0)))</x:f>
        <x:v>0</x:v>
      </x:c>
      <x:c r="Q29" s="45" t="n"/>
      <x:c r="R29" s="47" t="n"/>
      <x:c r="S29" s="47" t="n"/>
      <x:c r="T29" s="48" t="n"/>
      <x:c r="U29" s="49">
        <x:f>IF(AND(N29&lt;&gt;"Done",N29&lt;&gt;"Skipped",E29&lt;&gt;"",TODAY()&gt;E29),"Overdue","")</x:f>
      </x:c>
      <x:c r="V29" s="74" t="n"/>
      <x:c r="W29" s="47" t="n"/>
    </x:row>
    <x:row r="30" s="11" customFormat="1" ht="34" customHeight="1">
      <x:c r="A30" s="41" t="n">
        <x:v>27</x:v>
      </x:c>
      <x:c r="B30" s="41" t="n">
        <x:v>4</x:v>
      </x:c>
      <x:c r="C30" s="41" t="inlineStr">
        <x:is>
          <x:t xml:space="preserve">Sat</x:t>
        </x:is>
      </x:c>
      <x:c r="D30" s="41" t="inlineStr">
        <x:is>
          <x:t xml:space="preserve">Weekend</x:t>
        </x:is>
      </x:c>
      <x:c r="E30" s="64">
        <x:f>IF(Dashboard!$B$5="","",Dashboard!$B$5+A30-1)</x:f>
        <x:v>46151</x:v>
      </x:c>
      <x:c r="F30" s="41" t="n">
        <x:v>8</x:v>
      </x:c>
      <x:c r="G30" s="42" t="inlineStr">
        <x:is>
          <x:t xml:space="preserve">Binary search/sorting/intervals, modern Java, RDS vs DynamoDB, API integration, load balancing/data scale</x:t>
        </x:is>
      </x:c>
      <x:c r="H30" s="43" t="inlineStr">
        <x:is>
          <x:t xml:space="preserve">Weekend drill: search/sort/intervals</x:t>
        </x:is>
      </x:c>
      <x:c r="I30" s="43" t="inlineStr">
        <x:is>
          <x:t xml:space="preserve">Collections benchmark mini lab</x:t>
        </x:is>
      </x:c>
      <x:c r="J30" s="43" t="inlineStr">
        <x:is>
          <x:t xml:space="preserve">Full CRUD app with chosen DB</x:t>
        </x:is>
      </x:c>
      <x:c r="K30" s="43" t="inlineStr">
        <x:is>
          <x:t xml:space="preserve">Integrated API UI</x:t>
        </x:is>
      </x:c>
      <x:c r="L30" s="42" t="inlineStr">
        <x:is>
          <x:t xml:space="preserve">Design a small e-commerce architecture</x:t>
        </x:is>
      </x:c>
      <x:c r="M30" s="42" t="inlineStr">
        <x:is>
          <x:t xml:space="preserve">Milestone review for Day 30</x:t>
        </x:is>
      </x:c>
      <x:c r="N30" s="44" t="inlineStr">
        <x:is>
          <x:t xml:space="preserve">Not Started</x:t>
        </x:is>
      </x:c>
      <x:c r="O30" s="45" t="n"/>
      <x:c r="P30" s="73">
        <x:f>IF(N30="Done",1,IF(N30="Review",0.75,IF(N30="In Progress",0.5,0)))</x:f>
        <x:v>0</x:v>
      </x:c>
      <x:c r="Q30" s="45" t="n"/>
      <x:c r="R30" s="47" t="n"/>
      <x:c r="S30" s="47" t="n"/>
      <x:c r="T30" s="48" t="n"/>
      <x:c r="U30" s="49">
        <x:f>IF(AND(N30&lt;&gt;"Done",N30&lt;&gt;"Skipped",E30&lt;&gt;"",TODAY()&gt;E30),"Overdue","")</x:f>
      </x:c>
      <x:c r="V30" s="74" t="n"/>
      <x:c r="W30" s="47" t="n"/>
    </x:row>
    <x:row r="31" s="11" customFormat="1" ht="34" customHeight="1">
      <x:c r="A31" s="41" t="n">
        <x:v>28</x:v>
      </x:c>
      <x:c r="B31" s="41" t="n">
        <x:v>4</x:v>
      </x:c>
      <x:c r="C31" s="41" t="inlineStr">
        <x:is>
          <x:t xml:space="preserve">Sun</x:t>
        </x:is>
      </x:c>
      <x:c r="D31" s="41" t="inlineStr">
        <x:is>
          <x:t xml:space="preserve">Weekend</x:t>
        </x:is>
      </x:c>
      <x:c r="E31" s="64">
        <x:f>IF(Dashboard!$B$5="","",Dashboard!$B$5+A31-1)</x:f>
        <x:v>46152</x:v>
      </x:c>
      <x:c r="F31" s="41" t="n">
        <x:v>8</x:v>
      </x:c>
      <x:c r="G31" s="42" t="inlineStr">
        <x:is>
          <x:t xml:space="preserve">Binary search/sorting/intervals, modern Java, RDS vs DynamoDB, API integration, load balancing/data scale</x:t>
        </x:is>
      </x:c>
      <x:c r="H31" s="43" t="inlineStr">
        <x:is>
          <x:t xml:space="preserve">Weekly review + timed set</x:t>
        </x:is>
      </x:c>
      <x:c r="I31" s="43" t="inlineStr">
        <x:is>
          <x:t xml:space="preserve">Refactor and retest</x:t>
        </x:is>
      </x:c>
      <x:c r="J31" s="43" t="inlineStr">
        <x:is>
          <x:t xml:space="preserve">AWS core recap</x:t>
        </x:is>
      </x:c>
      <x:c r="K31" s="43" t="inlineStr">
        <x:is>
          <x:t xml:space="preserve">UI polish</x:t>
        </x:is>
      </x:c>
      <x:c r="L31" s="42" t="inlineStr">
        <x:is>
          <x:t xml:space="preserve">Retrospective</x:t>
        </x:is>
      </x:c>
      <x:c r="M31" s="42" t="inlineStr">
        <x:is>
          <x:t xml:space="preserve">Prepare milestone summary</x:t>
        </x:is>
      </x:c>
      <x:c r="N31" s="44" t="inlineStr">
        <x:is>
          <x:t xml:space="preserve">Not Started</x:t>
        </x:is>
      </x:c>
      <x:c r="O31" s="45" t="n"/>
      <x:c r="P31" s="73">
        <x:f>IF(N31="Done",1,IF(N31="Review",0.75,IF(N31="In Progress",0.5,0)))</x:f>
        <x:v>0</x:v>
      </x:c>
      <x:c r="Q31" s="45" t="n"/>
      <x:c r="R31" s="47" t="n"/>
      <x:c r="S31" s="47" t="n"/>
      <x:c r="T31" s="48" t="n"/>
      <x:c r="U31" s="49">
        <x:f>IF(AND(N31&lt;&gt;"Done",N31&lt;&gt;"Skipped",E31&lt;&gt;"",TODAY()&gt;E31),"Overdue","")</x:f>
      </x:c>
      <x:c r="V31" s="74" t="n"/>
      <x:c r="W31" s="47" t="n"/>
    </x:row>
    <x:row r="32" s="11" customFormat="1" ht="34" customHeight="1">
      <x:c r="A32" s="41" t="n">
        <x:v>29</x:v>
      </x:c>
      <x:c r="B32" s="41" t="n">
        <x:v>5</x:v>
      </x:c>
      <x:c r="C32" s="41" t="inlineStr">
        <x:is>
          <x:t xml:space="preserve">Mon</x:t>
        </x:is>
      </x:c>
      <x:c r="D32" s="41" t="inlineStr">
        <x:is>
          <x:t xml:space="preserve">Weekday</x:t>
        </x:is>
      </x:c>
      <x:c r="E32" s="64">
        <x:f>IF(Dashboard!$B$5="","",Dashboard!$B$5+A32-1)</x:f>
        <x:v>46153</x:v>
      </x:c>
      <x:c r="F32" s="41" t="n">
        <x:v>5</x:v>
      </x:c>
      <x:c r="G32" s="42" t="inlineStr">
        <x:is>
          <x:t xml:space="preserve">Linked list/stack/queue, Spring core, Lambda/API Gateway, advanced state, microservices basics</x:t>
        </x:is>
      </x:c>
      <x:c r="H32" s="43" t="inlineStr">
        <x:is>
          <x:t xml:space="preserve">Reverse linked list</x:t>
        </x:is>
      </x:c>
      <x:c r="I32" s="43" t="inlineStr">
        <x:is>
          <x:t xml:space="preserve">Spring Boot project structure, IoC/DI</x:t>
        </x:is>
      </x:c>
      <x:c r="J32" s="43" t="inlineStr">
        <x:is>
          <x:t xml:space="preserve">Lambda basics</x:t>
        </x:is>
      </x:c>
      <x:c r="K32" s="43" t="inlineStr">
        <x:is>
          <x:t xml:space="preserve">State strategy: local vs global vs server state</x:t>
        </x:is>
      </x:c>
      <x:c r="L32" s="42" t="inlineStr">
        <x:is>
          <x:t xml:space="preserve">Microservice decomposition principles</x:t>
        </x:is>
      </x:c>
      <x:c r="M32" s="42" t="inlineStr">
        <x:is>
          <x:t xml:space="preserve">Create Spring Boot base service</x:t>
        </x:is>
      </x:c>
      <x:c r="N32" s="44" t="inlineStr">
        <x:is>
          <x:t xml:space="preserve">Not Started</x:t>
        </x:is>
      </x:c>
      <x:c r="O32" s="45" t="n"/>
      <x:c r="P32" s="73">
        <x:f>IF(N32="Done",1,IF(N32="Review",0.75,IF(N32="In Progress",0.5,0)))</x:f>
        <x:v>0</x:v>
      </x:c>
      <x:c r="Q32" s="45" t="n"/>
      <x:c r="R32" s="47" t="n"/>
      <x:c r="S32" s="47" t="n"/>
      <x:c r="T32" s="48" t="n"/>
      <x:c r="U32" s="49">
        <x:f>IF(AND(N32&lt;&gt;"Done",N32&lt;&gt;"Skipped",E32&lt;&gt;"",TODAY()&gt;E32),"Overdue","")</x:f>
      </x:c>
      <x:c r="V32" s="74" t="n"/>
      <x:c r="W32" s="47" t="n"/>
    </x:row>
    <x:row r="33" s="11" customFormat="1" ht="34" customHeight="1">
      <x:c r="A33" s="41" t="n">
        <x:v>30</x:v>
      </x:c>
      <x:c r="B33" s="41" t="n">
        <x:v>5</x:v>
      </x:c>
      <x:c r="C33" s="41" t="inlineStr">
        <x:is>
          <x:t xml:space="preserve">Tue</x:t>
        </x:is>
      </x:c>
      <x:c r="D33" s="41" t="inlineStr">
        <x:is>
          <x:t xml:space="preserve">Weekday</x:t>
        </x:is>
      </x:c>
      <x:c r="E33" s="64">
        <x:f>IF(Dashboard!$B$5="","",Dashboard!$B$5+A33-1)</x:f>
        <x:v>46154</x:v>
      </x:c>
      <x:c r="F33" s="41" t="n">
        <x:v>5</x:v>
      </x:c>
      <x:c r="G33" s="42" t="inlineStr">
        <x:is>
          <x:t xml:space="preserve">Linked list/stack/queue, Spring core, Lambda/API Gateway, advanced state, microservices basics</x:t>
        </x:is>
      </x:c>
      <x:c r="H33" s="43" t="inlineStr">
        <x:is>
          <x:t xml:space="preserve">Merge two sorted lists</x:t>
        </x:is>
      </x:c>
      <x:c r="I33" s="43" t="inlineStr">
        <x:is>
          <x:t xml:space="preserve">Bean lifecycle and configuration</x:t>
        </x:is>
      </x:c>
      <x:c r="J33" s="43" t="inlineStr">
        <x:is>
          <x:t xml:space="preserve">API Gateway basics</x:t>
        </x:is>
      </x:c>
      <x:c r="K33" s="43" t="inlineStr">
        <x:is>
          <x:t xml:space="preserve">Redux Toolkit slices</x:t>
        </x:is>
      </x:c>
      <x:c r="L33" s="42" t="inlineStr">
        <x:is>
          <x:t xml:space="preserve">Sync vs async service communication</x:t>
        </x:is>
      </x:c>
      <x:c r="M33" s="42" t="inlineStr">
        <x:is>
          <x:t xml:space="preserve">Expose first REST endpoint</x:t>
        </x:is>
      </x:c>
      <x:c r="N33" s="44" t="inlineStr">
        <x:is>
          <x:t xml:space="preserve">Not Started</x:t>
        </x:is>
      </x:c>
      <x:c r="O33" s="45" t="n"/>
      <x:c r="P33" s="73">
        <x:f>IF(N33="Done",1,IF(N33="Review",0.75,IF(N33="In Progress",0.5,0)))</x:f>
        <x:v>0</x:v>
      </x:c>
      <x:c r="Q33" s="45" t="n"/>
      <x:c r="R33" s="47" t="n"/>
      <x:c r="S33" s="47" t="n"/>
      <x:c r="T33" s="48" t="n"/>
      <x:c r="U33" s="49">
        <x:f>IF(AND(N33&lt;&gt;"Done",N33&lt;&gt;"Skipped",E33&lt;&gt;"",TODAY()&gt;E33),"Overdue","")</x:f>
      </x:c>
      <x:c r="V33" s="74" t="n"/>
      <x:c r="W33" s="47" t="n"/>
    </x:row>
    <x:row r="34" s="11" customFormat="1" ht="34" customHeight="1">
      <x:c r="A34" s="41" t="n">
        <x:v>31</x:v>
      </x:c>
      <x:c r="B34" s="41" t="n">
        <x:v>5</x:v>
      </x:c>
      <x:c r="C34" s="41" t="inlineStr">
        <x:is>
          <x:t xml:space="preserve">Wed</x:t>
        </x:is>
      </x:c>
      <x:c r="D34" s="41" t="inlineStr">
        <x:is>
          <x:t xml:space="preserve">Weekday</x:t>
        </x:is>
      </x:c>
      <x:c r="E34" s="64">
        <x:f>IF(Dashboard!$B$5="","",Dashboard!$B$5+A34-1)</x:f>
        <x:v>46155</x:v>
      </x:c>
      <x:c r="F34" s="41" t="n">
        <x:v>5</x:v>
      </x:c>
      <x:c r="G34" s="42" t="inlineStr">
        <x:is>
          <x:t xml:space="preserve">Linked list/stack/queue, Spring core, Lambda/API Gateway, advanced state, microservices basics</x:t>
        </x:is>
      </x:c>
      <x:c r="H34" s="43" t="inlineStr">
        <x:is>
          <x:t xml:space="preserve">Remove nth node / cycle detect</x:t>
        </x:is>
      </x:c>
      <x:c r="I34" s="43" t="inlineStr">
        <x:is>
          <x:t xml:space="preserve">Spring MVC controllers</x:t>
        </x:is>
      </x:c>
      <x:c r="J34" s="43" t="inlineStr">
        <x:is>
          <x:t xml:space="preserve">Lambda events and handlers</x:t>
        </x:is>
      </x:c>
      <x:c r="K34" s="43" t="inlineStr">
        <x:is>
          <x:t xml:space="preserve">Normalized state and selectors</x:t>
        </x:is>
      </x:c>
      <x:c r="L34" s="42" t="inlineStr">
        <x:is>
          <x:t xml:space="preserve">Service contracts and OpenAPI</x:t>
        </x:is>
      </x:c>
      <x:c r="M34" s="42" t="inlineStr">
        <x:is>
          <x:t xml:space="preserve">OpenAPI spec draft</x:t>
        </x:is>
      </x:c>
      <x:c r="N34" s="44" t="inlineStr">
        <x:is>
          <x:t xml:space="preserve">Not Started</x:t>
        </x:is>
      </x:c>
      <x:c r="O34" s="45" t="n"/>
      <x:c r="P34" s="73">
        <x:f>IF(N34="Done",1,IF(N34="Review",0.75,IF(N34="In Progress",0.5,0)))</x:f>
        <x:v>0</x:v>
      </x:c>
      <x:c r="Q34" s="45" t="n"/>
      <x:c r="R34" s="47" t="n"/>
      <x:c r="S34" s="47" t="n"/>
      <x:c r="T34" s="48" t="n"/>
      <x:c r="U34" s="49">
        <x:f>IF(AND(N34&lt;&gt;"Done",N34&lt;&gt;"Skipped",E34&lt;&gt;"",TODAY()&gt;E34),"Overdue","")</x:f>
      </x:c>
      <x:c r="V34" s="74" t="n"/>
      <x:c r="W34" s="47" t="n"/>
    </x:row>
    <x:row r="35" s="11" customFormat="1" ht="34" customHeight="1">
      <x:c r="A35" s="41" t="n">
        <x:v>32</x:v>
      </x:c>
      <x:c r="B35" s="41" t="n">
        <x:v>5</x:v>
      </x:c>
      <x:c r="C35" s="41" t="inlineStr">
        <x:is>
          <x:t xml:space="preserve">Thu</x:t>
        </x:is>
      </x:c>
      <x:c r="D35" s="41" t="inlineStr">
        <x:is>
          <x:t xml:space="preserve">Weekday</x:t>
        </x:is>
      </x:c>
      <x:c r="E35" s="64">
        <x:f>IF(Dashboard!$B$5="","",Dashboard!$B$5+A35-1)</x:f>
        <x:v>46156</x:v>
      </x:c>
      <x:c r="F35" s="41" t="n">
        <x:v>5</x:v>
      </x:c>
      <x:c r="G35" s="42" t="inlineStr">
        <x:is>
          <x:t xml:space="preserve">Linked list/stack/queue, Spring core, Lambda/API Gateway, advanced state, microservices basics</x:t>
        </x:is>
      </x:c>
      <x:c r="H35" s="43" t="inlineStr">
        <x:is>
          <x:t xml:space="preserve">Valid parentheses / MinStack</x:t>
        </x:is>
      </x:c>
      <x:c r="I35" s="43" t="inlineStr">
        <x:is>
          <x:t xml:space="preserve">Validation + global exception handling</x:t>
        </x:is>
      </x:c>
      <x:c r="J35" s="43" t="inlineStr">
        <x:is>
          <x:t xml:space="preserve">Lambda + API Gateway CRUD</x:t>
        </x:is>
      </x:c>
      <x:c r="K35" s="43" t="inlineStr">
        <x:is>
          <x:t xml:space="preserve">RTK Query or server-state library</x:t>
        </x:is>
      </x:c>
      <x:c r="L35" s="42" t="inlineStr">
        <x:is>
          <x:t xml:space="preserve">Consumer-driven contract thinking</x:t>
        </x:is>
      </x:c>
      <x:c r="M35" s="42" t="inlineStr">
        <x:is>
          <x:t xml:space="preserve">Serverless CRUD prototype</x:t>
        </x:is>
      </x:c>
      <x:c r="N35" s="44" t="inlineStr">
        <x:is>
          <x:t xml:space="preserve">Not Started</x:t>
        </x:is>
      </x:c>
      <x:c r="O35" s="45" t="n"/>
      <x:c r="P35" s="73">
        <x:f>IF(N35="Done",1,IF(N35="Review",0.75,IF(N35="In Progress",0.5,0)))</x:f>
        <x:v>0</x:v>
      </x:c>
      <x:c r="Q35" s="45" t="n"/>
      <x:c r="R35" s="47" t="n"/>
      <x:c r="S35" s="47" t="n"/>
      <x:c r="T35" s="48" t="n"/>
      <x:c r="U35" s="49">
        <x:f>IF(AND(N35&lt;&gt;"Done",N35&lt;&gt;"Skipped",E35&lt;&gt;"",TODAY()&gt;E35),"Overdue","")</x:f>
      </x:c>
      <x:c r="V35" s="74" t="n"/>
      <x:c r="W35" s="47" t="n"/>
    </x:row>
    <x:row r="36" s="11" customFormat="1" ht="34" customHeight="1">
      <x:c r="A36" s="41" t="n">
        <x:v>33</x:v>
      </x:c>
      <x:c r="B36" s="41" t="n">
        <x:v>5</x:v>
      </x:c>
      <x:c r="C36" s="41" t="inlineStr">
        <x:is>
          <x:t xml:space="preserve">Fri</x:t>
        </x:is>
      </x:c>
      <x:c r="D36" s="41" t="inlineStr">
        <x:is>
          <x:t xml:space="preserve">Weekday</x:t>
        </x:is>
      </x:c>
      <x:c r="E36" s="64">
        <x:f>IF(Dashboard!$B$5="","",Dashboard!$B$5+A36-1)</x:f>
        <x:v>46157</x:v>
      </x:c>
      <x:c r="F36" s="41" t="n">
        <x:v>5</x:v>
      </x:c>
      <x:c r="G36" s="42" t="inlineStr">
        <x:is>
          <x:t xml:space="preserve">Linked list/stack/queue, Spring core, Lambda/API Gateway, advanced state, microservices basics</x:t>
        </x:is>
      </x:c>
      <x:c r="H36" s="43" t="inlineStr">
        <x:is>
          <x:t xml:space="preserve">Queue basics / sliding-window max</x:t>
        </x:is>
      </x:c>
      <x:c r="I36" s="43" t="inlineStr">
        <x:is>
          <x:t xml:space="preserve">Profiles and externalized config</x:t>
        </x:is>
      </x:c>
      <x:c r="J36" s="43" t="inlineStr">
        <x:is>
          <x:t xml:space="preserve">Step Functions intro</x:t>
        </x:is>
      </x:c>
      <x:c r="K36" s="43" t="inlineStr">
        <x:is>
          <x:t xml:space="preserve">Optimistic updates</x:t>
        </x:is>
      </x:c>
      <x:c r="L36" s="42" t="inlineStr">
        <x:is>
          <x:t xml:space="preserve">Saga pattern intro</x:t>
        </x:is>
      </x:c>
      <x:c r="M36" s="42" t="inlineStr">
        <x:is>
          <x:t xml:space="preserve">Profile-based config for dev/test/prod</x:t>
        </x:is>
      </x:c>
      <x:c r="N36" s="44" t="inlineStr">
        <x:is>
          <x:t xml:space="preserve">Not Started</x:t>
        </x:is>
      </x:c>
      <x:c r="O36" s="45" t="n"/>
      <x:c r="P36" s="73">
        <x:f>IF(N36="Done",1,IF(N36="Review",0.75,IF(N36="In Progress",0.5,0)))</x:f>
        <x:v>0</x:v>
      </x:c>
      <x:c r="Q36" s="45" t="n"/>
      <x:c r="R36" s="47" t="n"/>
      <x:c r="S36" s="47" t="n"/>
      <x:c r="T36" s="48" t="n"/>
      <x:c r="U36" s="49">
        <x:f>IF(AND(N36&lt;&gt;"Done",N36&lt;&gt;"Skipped",E36&lt;&gt;"",TODAY()&gt;E36),"Overdue","")</x:f>
      </x:c>
      <x:c r="V36" s="74" t="n"/>
      <x:c r="W36" s="47" t="n"/>
    </x:row>
    <x:row r="37" s="11" customFormat="1" ht="34" customHeight="1">
      <x:c r="A37" s="41" t="n">
        <x:v>34</x:v>
      </x:c>
      <x:c r="B37" s="41" t="n">
        <x:v>5</x:v>
      </x:c>
      <x:c r="C37" s="41" t="inlineStr">
        <x:is>
          <x:t xml:space="preserve">Sat</x:t>
        </x:is>
      </x:c>
      <x:c r="D37" s="41" t="inlineStr">
        <x:is>
          <x:t xml:space="preserve">Weekend</x:t>
        </x:is>
      </x:c>
      <x:c r="E37" s="64">
        <x:f>IF(Dashboard!$B$5="","",Dashboard!$B$5+A37-1)</x:f>
        <x:v>46158</x:v>
      </x:c>
      <x:c r="F37" s="41" t="n">
        <x:v>8</x:v>
      </x:c>
      <x:c r="G37" s="42" t="inlineStr">
        <x:is>
          <x:t xml:space="preserve">Linked list/stack/queue, Spring core, Lambda/API Gateway, advanced state, microservices basics</x:t>
        </x:is>
      </x:c>
      <x:c r="H37" s="43" t="inlineStr">
        <x:is>
          <x:t xml:space="preserve">Weekend drill: 4 LL/stack/queue problems</x:t>
        </x:is>
      </x:c>
      <x:c r="I37" s="43" t="inlineStr">
        <x:is>
          <x:t xml:space="preserve">Build Spring CRUD API</x:t>
        </x:is>
      </x:c>
      <x:c r="J37" s="43" t="inlineStr">
        <x:is>
          <x:t xml:space="preserve">Serverless hands-on lab</x:t>
        </x:is>
      </x:c>
      <x:c r="K37" s="43" t="inlineStr">
        <x:is>
          <x:t xml:space="preserve">State-heavy feature</x:t>
        </x:is>
      </x:c>
      <x:c r="L37" s="42" t="inlineStr">
        <x:is>
          <x:t xml:space="preserve">Microservice sketch for same domain</x:t>
        </x:is>
      </x:c>
      <x:c r="M37" s="42" t="inlineStr">
        <x:is>
          <x:t xml:space="preserve">Compare monolith vs microservice design</x:t>
        </x:is>
      </x:c>
      <x:c r="N37" s="44" t="inlineStr">
        <x:is>
          <x:t xml:space="preserve">Not Started</x:t>
        </x:is>
      </x:c>
      <x:c r="O37" s="45" t="n"/>
      <x:c r="P37" s="73">
        <x:f>IF(N37="Done",1,IF(N37="Review",0.75,IF(N37="In Progress",0.5,0)))</x:f>
        <x:v>0</x:v>
      </x:c>
      <x:c r="Q37" s="45" t="n"/>
      <x:c r="R37" s="47" t="n"/>
      <x:c r="S37" s="47" t="n"/>
      <x:c r="T37" s="48" t="n"/>
      <x:c r="U37" s="49">
        <x:f>IF(AND(N37&lt;&gt;"Done",N37&lt;&gt;"Skipped",E37&lt;&gt;"",TODAY()&gt;E37),"Overdue","")</x:f>
      </x:c>
      <x:c r="V37" s="74" t="n"/>
      <x:c r="W37" s="47" t="n"/>
    </x:row>
    <x:row r="38" s="11" customFormat="1" ht="34" customHeight="1">
      <x:c r="A38" s="41" t="n">
        <x:v>35</x:v>
      </x:c>
      <x:c r="B38" s="41" t="n">
        <x:v>5</x:v>
      </x:c>
      <x:c r="C38" s="41" t="inlineStr">
        <x:is>
          <x:t xml:space="preserve">Sun</x:t>
        </x:is>
      </x:c>
      <x:c r="D38" s="41" t="inlineStr">
        <x:is>
          <x:t xml:space="preserve">Weekend</x:t>
        </x:is>
      </x:c>
      <x:c r="E38" s="64">
        <x:f>IF(Dashboard!$B$5="","",Dashboard!$B$5+A38-1)</x:f>
        <x:v>46159</x:v>
      </x:c>
      <x:c r="F38" s="41" t="n">
        <x:v>8</x:v>
      </x:c>
      <x:c r="G38" s="42" t="inlineStr">
        <x:is>
          <x:t xml:space="preserve">Linked list/stack/queue, Spring core, Lambda/API Gateway, advanced state, microservices basics</x:t>
        </x:is>
      </x:c>
      <x:c r="H38" s="43" t="inlineStr">
        <x:is>
          <x:t xml:space="preserve">Weekly review + timed set</x:t>
        </x:is>
      </x:c>
      <x:c r="I38" s="43" t="inlineStr">
        <x:is>
          <x:t xml:space="preserve">Spring recap</x:t>
        </x:is>
      </x:c>
      <x:c r="J38" s="43" t="inlineStr">
        <x:is>
          <x:t xml:space="preserve">Serverless recap</x:t>
        </x:is>
      </x:c>
      <x:c r="K38" s="43" t="inlineStr">
        <x:is>
          <x:t xml:space="preserve">React recap</x:t>
        </x:is>
      </x:c>
      <x:c r="L38" s="42" t="inlineStr">
        <x:is>
          <x:t xml:space="preserve">Retrospective</x:t>
        </x:is>
      </x:c>
      <x:c r="M38" s="42" t="inlineStr">
        <x:is>
          <x:t xml:space="preserve">Update architecture notes</x:t>
        </x:is>
      </x:c>
      <x:c r="N38" s="44" t="inlineStr">
        <x:is>
          <x:t xml:space="preserve">Not Started</x:t>
        </x:is>
      </x:c>
      <x:c r="O38" s="45" t="n"/>
      <x:c r="P38" s="73">
        <x:f>IF(N38="Done",1,IF(N38="Review",0.75,IF(N38="In Progress",0.5,0)))</x:f>
        <x:v>0</x:v>
      </x:c>
      <x:c r="Q38" s="45" t="n"/>
      <x:c r="R38" s="47" t="n"/>
      <x:c r="S38" s="47" t="n"/>
      <x:c r="T38" s="48" t="n"/>
      <x:c r="U38" s="49">
        <x:f>IF(AND(N38&lt;&gt;"Done",N38&lt;&gt;"Skipped",E38&lt;&gt;"",TODAY()&gt;E38),"Overdue","")</x:f>
      </x:c>
      <x:c r="V38" s="74" t="n"/>
      <x:c r="W38" s="47" t="n"/>
    </x:row>
    <x:row r="39" s="11" customFormat="1" ht="34" customHeight="1">
      <x:c r="A39" s="41" t="n">
        <x:v>36</x:v>
      </x:c>
      <x:c r="B39" s="41" t="n">
        <x:v>6</x:v>
      </x:c>
      <x:c r="C39" s="41" t="inlineStr">
        <x:is>
          <x:t xml:space="preserve">Mon</x:t>
        </x:is>
      </x:c>
      <x:c r="D39" s="41" t="inlineStr">
        <x:is>
          <x:t xml:space="preserve">Weekday</x:t>
        </x:is>
      </x:c>
      <x:c r="E39" s="64">
        <x:f>IF(Dashboard!$B$5="","",Dashboard!$B$5+A39-1)</x:f>
        <x:v>46160</x:v>
      </x:c>
      <x:c r="F39" s="41" t="n">
        <x:v>5</x:v>
      </x:c>
      <x:c r="G39" s="42" t="inlineStr">
        <x:is>
          <x:t xml:space="preserve">Heap/trees basics, JPA, Docker/ECS, React performance, auth/security</x:t>
        </x:is>
      </x:c>
      <x:c r="H39" s="43" t="inlineStr">
        <x:is>
          <x:t xml:space="preserve">Heap intro + kth largest</x:t>
        </x:is>
      </x:c>
      <x:c r="I39" s="43" t="inlineStr">
        <x:is>
          <x:t xml:space="preserve">JPA entities and repositories</x:t>
        </x:is>
      </x:c>
      <x:c r="J39" s="43" t="inlineStr">
        <x:is>
          <x:t xml:space="preserve">Docker fundamentals</x:t>
        </x:is>
      </x:c>
      <x:c r="K39" s="43" t="inlineStr">
        <x:is>
          <x:t xml:space="preserve">Render cycle and re-render debugging</x:t>
        </x:is>
      </x:c>
      <x:c r="L39" s="42" t="inlineStr">
        <x:is>
          <x:t xml:space="preserve">Authentication vs authorization</x:t>
        </x:is>
      </x:c>
      <x:c r="M39" s="42" t="inlineStr">
        <x:is>
          <x:t xml:space="preserve">Containerize Spring app</x:t>
        </x:is>
      </x:c>
      <x:c r="N39" s="44" t="inlineStr">
        <x:is>
          <x:t xml:space="preserve">Not Started</x:t>
        </x:is>
      </x:c>
      <x:c r="O39" s="45" t="n"/>
      <x:c r="P39" s="73">
        <x:f>IF(N39="Done",1,IF(N39="Review",0.75,IF(N39="In Progress",0.5,0)))</x:f>
        <x:v>0</x:v>
      </x:c>
      <x:c r="Q39" s="45" t="n"/>
      <x:c r="R39" s="47" t="n"/>
      <x:c r="S39" s="47" t="n"/>
      <x:c r="T39" s="48" t="n"/>
      <x:c r="U39" s="49">
        <x:f>IF(AND(N39&lt;&gt;"Done",N39&lt;&gt;"Skipped",E39&lt;&gt;"",TODAY()&gt;E39),"Overdue","")</x:f>
      </x:c>
      <x:c r="V39" s="74" t="n"/>
      <x:c r="W39" s="47" t="n"/>
    </x:row>
    <x:row r="40" s="11" customFormat="1" ht="34" customHeight="1">
      <x:c r="A40" s="41" t="n">
        <x:v>37</x:v>
      </x:c>
      <x:c r="B40" s="41" t="n">
        <x:v>6</x:v>
      </x:c>
      <x:c r="C40" s="41" t="inlineStr">
        <x:is>
          <x:t xml:space="preserve">Tue</x:t>
        </x:is>
      </x:c>
      <x:c r="D40" s="41" t="inlineStr">
        <x:is>
          <x:t xml:space="preserve">Weekday</x:t>
        </x:is>
      </x:c>
      <x:c r="E40" s="64">
        <x:f>IF(Dashboard!$B$5="","",Dashboard!$B$5+A40-1)</x:f>
        <x:v>46161</x:v>
      </x:c>
      <x:c r="F40" s="41" t="n">
        <x:v>5</x:v>
      </x:c>
      <x:c r="G40" s="42" t="inlineStr">
        <x:is>
          <x:t xml:space="preserve">Heap/trees basics, JPA, Docker/ECS, React performance, auth/security</x:t>
        </x:is>
      </x:c>
      <x:c r="H40" s="43" t="inlineStr">
        <x:is>
          <x:t xml:space="preserve">Top K frequent elements</x:t>
        </x:is>
      </x:c>
      <x:c r="I40" s="43" t="inlineStr">
        <x:is>
          <x:t xml:space="preserve">Relationships and fetch strategies</x:t>
        </x:is>
      </x:c>
      <x:c r="J40" s="43" t="inlineStr">
        <x:is>
          <x:t xml:space="preserve">Dockerfile + multi-stage build</x:t>
        </x:is>
      </x:c>
      <x:c r="K40" s="43" t="inlineStr">
        <x:is>
          <x:t xml:space="preserve">useMemo</x:t>
        </x:is>
      </x:c>
      <x:c r="L40" s="42" t="inlineStr">
        <x:is>
          <x:t xml:space="preserve">JWT basics and token structure</x:t>
        </x:is>
      </x:c>
      <x:c r="M40" s="42" t="inlineStr">
        <x:is>
          <x:t xml:space="preserve">Docker image built locally</x:t>
        </x:is>
      </x:c>
      <x:c r="N40" s="44" t="inlineStr">
        <x:is>
          <x:t xml:space="preserve">Not Started</x:t>
        </x:is>
      </x:c>
      <x:c r="O40" s="45" t="n"/>
      <x:c r="P40" s="73">
        <x:f>IF(N40="Done",1,IF(N40="Review",0.75,IF(N40="In Progress",0.5,0)))</x:f>
        <x:v>0</x:v>
      </x:c>
      <x:c r="Q40" s="45" t="n"/>
      <x:c r="R40" s="47" t="n"/>
      <x:c r="S40" s="47" t="n"/>
      <x:c r="T40" s="48" t="n"/>
      <x:c r="U40" s="49">
        <x:f>IF(AND(N40&lt;&gt;"Done",N40&lt;&gt;"Skipped",E40&lt;&gt;"",TODAY()&gt;E40),"Overdue","")</x:f>
      </x:c>
      <x:c r="V40" s="74" t="n"/>
      <x:c r="W40" s="47" t="n"/>
    </x:row>
    <x:row r="41" s="11" customFormat="1" ht="34" customHeight="1">
      <x:c r="A41" s="41" t="n">
        <x:v>38</x:v>
      </x:c>
      <x:c r="B41" s="41" t="n">
        <x:v>6</x:v>
      </x:c>
      <x:c r="C41" s="41" t="inlineStr">
        <x:is>
          <x:t xml:space="preserve">Wed</x:t>
        </x:is>
      </x:c>
      <x:c r="D41" s="41" t="inlineStr">
        <x:is>
          <x:t xml:space="preserve">Weekday</x:t>
        </x:is>
      </x:c>
      <x:c r="E41" s="64">
        <x:f>IF(Dashboard!$B$5="","",Dashboard!$B$5+A41-1)</x:f>
        <x:v>46162</x:v>
      </x:c>
      <x:c r="F41" s="41" t="n">
        <x:v>5</x:v>
      </x:c>
      <x:c r="G41" s="42" t="inlineStr">
        <x:is>
          <x:t xml:space="preserve">Heap/trees basics, JPA, Docker/ECS, React performance, auth/security</x:t>
        </x:is>
      </x:c>
      <x:c r="H41" s="43" t="inlineStr">
        <x:is>
          <x:t xml:space="preserve">Tree DFS traversals</x:t>
        </x:is>
      </x:c>
      <x:c r="I41" s="43" t="inlineStr">
        <x:is>
          <x:t xml:space="preserve">Transactions and propagation basics</x:t>
        </x:is>
      </x:c>
      <x:c r="J41" s="43" t="inlineStr">
        <x:is>
          <x:t xml:space="preserve">ECR registry</x:t>
        </x:is>
      </x:c>
      <x:c r="K41" s="43" t="inlineStr">
        <x:is>
          <x:t xml:space="preserve">useCallback and React.memo</x:t>
        </x:is>
      </x:c>
      <x:c r="L41" s="42" t="inlineStr">
        <x:is>
          <x:t xml:space="preserve">OAuth2/OIDC concepts</x:t>
        </x:is>
      </x:c>
      <x:c r="M41" s="42" t="inlineStr">
        <x:is>
          <x:t xml:space="preserve">Push image to ECR</x:t>
        </x:is>
      </x:c>
      <x:c r="N41" s="44" t="inlineStr">
        <x:is>
          <x:t xml:space="preserve">Not Started</x:t>
        </x:is>
      </x:c>
      <x:c r="O41" s="45" t="n"/>
      <x:c r="P41" s="73">
        <x:f>IF(N41="Done",1,IF(N41="Review",0.75,IF(N41="In Progress",0.5,0)))</x:f>
        <x:v>0</x:v>
      </x:c>
      <x:c r="Q41" s="45" t="n"/>
      <x:c r="R41" s="47" t="n"/>
      <x:c r="S41" s="47" t="n"/>
      <x:c r="T41" s="48" t="n"/>
      <x:c r="U41" s="49">
        <x:f>IF(AND(N41&lt;&gt;"Done",N41&lt;&gt;"Skipped",E41&lt;&gt;"",TODAY()&gt;E41),"Overdue","")</x:f>
      </x:c>
      <x:c r="V41" s="74" t="n"/>
      <x:c r="W41" s="47" t="n"/>
    </x:row>
    <x:row r="42" s="11" customFormat="1" ht="34" customHeight="1">
      <x:c r="A42" s="41" t="n">
        <x:v>39</x:v>
      </x:c>
      <x:c r="B42" s="41" t="n">
        <x:v>6</x:v>
      </x:c>
      <x:c r="C42" s="41" t="inlineStr">
        <x:is>
          <x:t xml:space="preserve">Thu</x:t>
        </x:is>
      </x:c>
      <x:c r="D42" s="41" t="inlineStr">
        <x:is>
          <x:t xml:space="preserve">Weekday</x:t>
        </x:is>
      </x:c>
      <x:c r="E42" s="64">
        <x:f>IF(Dashboard!$B$5="","",Dashboard!$B$5+A42-1)</x:f>
        <x:v>46163</x:v>
      </x:c>
      <x:c r="F42" s="41" t="n">
        <x:v>5</x:v>
      </x:c>
      <x:c r="G42" s="42" t="inlineStr">
        <x:is>
          <x:t xml:space="preserve">Heap/trees basics, JPA, Docker/ECS, React performance, auth/security</x:t>
        </x:is>
      </x:c>
      <x:c r="H42" s="43" t="inlineStr">
        <x:is>
          <x:t xml:space="preserve">Tree BFS / level order</x:t>
        </x:is>
      </x:c>
      <x:c r="I42" s="43" t="inlineStr">
        <x:is>
          <x:t xml:space="preserve">Pagination and sorting with Spring Data</x:t>
        </x:is>
      </x:c>
      <x:c r="J42" s="43" t="inlineStr">
        <x:is>
          <x:t xml:space="preserve">ECS / Fargate basics</x:t>
        </x:is>
      </x:c>
      <x:c r="K42" s="43" t="inlineStr">
        <x:is>
          <x:t xml:space="preserve">Lazy loading and code splitting</x:t>
        </x:is>
      </x:c>
      <x:c r="L42" s="42" t="inlineStr">
        <x:is>
          <x:t xml:space="preserve">Session vs token architecture</x:t>
        </x:is>
      </x:c>
      <x:c r="M42" s="42" t="inlineStr">
        <x:is>
          <x:t xml:space="preserve">Deploy container service</x:t>
        </x:is>
      </x:c>
      <x:c r="N42" s="44" t="inlineStr">
        <x:is>
          <x:t xml:space="preserve">Not Started</x:t>
        </x:is>
      </x:c>
      <x:c r="O42" s="45" t="n"/>
      <x:c r="P42" s="73">
        <x:f>IF(N42="Done",1,IF(N42="Review",0.75,IF(N42="In Progress",0.5,0)))</x:f>
        <x:v>0</x:v>
      </x:c>
      <x:c r="Q42" s="45" t="n"/>
      <x:c r="R42" s="47" t="n"/>
      <x:c r="S42" s="47" t="n"/>
      <x:c r="T42" s="48" t="n"/>
      <x:c r="U42" s="49">
        <x:f>IF(AND(N42&lt;&gt;"Done",N42&lt;&gt;"Skipped",E42&lt;&gt;"",TODAY()&gt;E42),"Overdue","")</x:f>
      </x:c>
      <x:c r="V42" s="74" t="n"/>
      <x:c r="W42" s="47" t="n"/>
    </x:row>
    <x:row r="43" s="11" customFormat="1" ht="34" customHeight="1">
      <x:c r="A43" s="41" t="n">
        <x:v>40</x:v>
      </x:c>
      <x:c r="B43" s="41" t="n">
        <x:v>6</x:v>
      </x:c>
      <x:c r="C43" s="41" t="inlineStr">
        <x:is>
          <x:t xml:space="preserve">Fri</x:t>
        </x:is>
      </x:c>
      <x:c r="D43" s="41" t="inlineStr">
        <x:is>
          <x:t xml:space="preserve">Weekday</x:t>
        </x:is>
      </x:c>
      <x:c r="E43" s="64">
        <x:f>IF(Dashboard!$B$5="","",Dashboard!$B$5+A43-1)</x:f>
        <x:v>46164</x:v>
      </x:c>
      <x:c r="F43" s="41" t="n">
        <x:v>5</x:v>
      </x:c>
      <x:c r="G43" s="42" t="inlineStr">
        <x:is>
          <x:t xml:space="preserve">Heap/trees basics, JPA, Docker/ECS, React performance, auth/security</x:t>
        </x:is>
      </x:c>
      <x:c r="H43" s="43" t="inlineStr">
        <x:is>
          <x:t xml:space="preserve">Max depth / invert tree</x:t>
        </x:is>
      </x:c>
      <x:c r="I43" s="43" t="inlineStr">
        <x:is>
          <x:t xml:space="preserve">Testing REST APIs with MockMvc</x:t>
        </x:is>
      </x:c>
      <x:c r="J43" s="43" t="inlineStr">
        <x:is>
          <x:t xml:space="preserve">ECS service deploy review</x:t>
        </x:is>
      </x:c>
      <x:c r="K43" s="43" t="inlineStr">
        <x:is>
          <x:t xml:space="preserve">List virtualization</x:t>
        </x:is>
      </x:c>
      <x:c r="L43" s="42" t="inlineStr">
        <x:is>
          <x:t xml:space="preserve">Password storage, secrets, secure config</x:t>
        </x:is>
      </x:c>
      <x:c r="M43" s="42" t="inlineStr">
        <x:is>
          <x:t xml:space="preserve">Secure config checklist</x:t>
        </x:is>
      </x:c>
      <x:c r="N43" s="44" t="inlineStr">
        <x:is>
          <x:t xml:space="preserve">Not Started</x:t>
        </x:is>
      </x:c>
      <x:c r="O43" s="45" t="n"/>
      <x:c r="P43" s="73">
        <x:f>IF(N43="Done",1,IF(N43="Review",0.75,IF(N43="In Progress",0.5,0)))</x:f>
        <x:v>0</x:v>
      </x:c>
      <x:c r="Q43" s="45" t="n"/>
      <x:c r="R43" s="47" t="n"/>
      <x:c r="S43" s="47" t="n"/>
      <x:c r="T43" s="48" t="n"/>
      <x:c r="U43" s="49">
        <x:f>IF(AND(N43&lt;&gt;"Done",N43&lt;&gt;"Skipped",E43&lt;&gt;"",TODAY()&gt;E43),"Overdue","")</x:f>
      </x:c>
      <x:c r="V43" s="74" t="n"/>
      <x:c r="W43" s="47" t="n"/>
    </x:row>
    <x:row r="44" s="11" customFormat="1" ht="34" customHeight="1">
      <x:c r="A44" s="41" t="n">
        <x:v>41</x:v>
      </x:c>
      <x:c r="B44" s="41" t="n">
        <x:v>6</x:v>
      </x:c>
      <x:c r="C44" s="41" t="inlineStr">
        <x:is>
          <x:t xml:space="preserve">Sat</x:t>
        </x:is>
      </x:c>
      <x:c r="D44" s="41" t="inlineStr">
        <x:is>
          <x:t xml:space="preserve">Weekend</x:t>
        </x:is>
      </x:c>
      <x:c r="E44" s="64">
        <x:f>IF(Dashboard!$B$5="","",Dashboard!$B$5+A44-1)</x:f>
        <x:v>46165</x:v>
      </x:c>
      <x:c r="F44" s="41" t="n">
        <x:v>8</x:v>
      </x:c>
      <x:c r="G44" s="42" t="inlineStr">
        <x:is>
          <x:t xml:space="preserve">Heap/trees basics, JPA, Docker/ECS, React performance, auth/security</x:t>
        </x:is>
      </x:c>
      <x:c r="H44" s="43" t="inlineStr">
        <x:is>
          <x:t xml:space="preserve">Weekend drill: 4 heap/tree problems</x:t>
        </x:is>
      </x:c>
      <x:c r="I44" s="43" t="inlineStr">
        <x:is>
          <x:t xml:space="preserve">JPA mini service</x:t>
        </x:is>
      </x:c>
      <x:c r="J44" s="43" t="inlineStr">
        <x:is>
          <x:t xml:space="preserve">Docker + ECS deploy</x:t>
        </x:is>
      </x:c>
      <x:c r="K44" s="43" t="inlineStr">
        <x:is>
          <x:t xml:space="preserve">Performance audit</x:t>
        </x:is>
      </x:c>
      <x:c r="L44" s="42" t="inlineStr">
        <x:is>
          <x:t xml:space="preserve">Security architecture review</x:t>
        </x:is>
      </x:c>
      <x:c r="M44" s="42" t="inlineStr">
        <x:is>
          <x:t xml:space="preserve">Milestone: containerized app in cloud</x:t>
        </x:is>
      </x:c>
      <x:c r="N44" s="44" t="inlineStr">
        <x:is>
          <x:t xml:space="preserve">Not Started</x:t>
        </x:is>
      </x:c>
      <x:c r="O44" s="45" t="n"/>
      <x:c r="P44" s="73">
        <x:f>IF(N44="Done",1,IF(N44="Review",0.75,IF(N44="In Progress",0.5,0)))</x:f>
        <x:v>0</x:v>
      </x:c>
      <x:c r="Q44" s="45" t="n"/>
      <x:c r="R44" s="47" t="n"/>
      <x:c r="S44" s="47" t="n"/>
      <x:c r="T44" s="48" t="n"/>
      <x:c r="U44" s="49">
        <x:f>IF(AND(N44&lt;&gt;"Done",N44&lt;&gt;"Skipped",E44&lt;&gt;"",TODAY()&gt;E44),"Overdue","")</x:f>
      </x:c>
      <x:c r="V44" s="74" t="n"/>
      <x:c r="W44" s="47" t="n"/>
    </x:row>
    <x:row r="45" s="11" customFormat="1" ht="34" customHeight="1">
      <x:c r="A45" s="41" t="n">
        <x:v>42</x:v>
      </x:c>
      <x:c r="B45" s="41" t="n">
        <x:v>6</x:v>
      </x:c>
      <x:c r="C45" s="41" t="inlineStr">
        <x:is>
          <x:t xml:space="preserve">Sun</x:t>
        </x:is>
      </x:c>
      <x:c r="D45" s="41" t="inlineStr">
        <x:is>
          <x:t xml:space="preserve">Weekend</x:t>
        </x:is>
      </x:c>
      <x:c r="E45" s="64">
        <x:f>IF(Dashboard!$B$5="","",Dashboard!$B$5+A45-1)</x:f>
        <x:v>46166</x:v>
      </x:c>
      <x:c r="F45" s="41" t="n">
        <x:v>8</x:v>
      </x:c>
      <x:c r="G45" s="42" t="inlineStr">
        <x:is>
          <x:t xml:space="preserve">Heap/trees basics, JPA, Docker/ECS, React performance, auth/security</x:t>
        </x:is>
      </x:c>
      <x:c r="H45" s="43" t="inlineStr">
        <x:is>
          <x:t xml:space="preserve">Weekly review + timed set</x:t>
        </x:is>
      </x:c>
      <x:c r="I45" s="43" t="inlineStr">
        <x:is>
          <x:t xml:space="preserve">Persistence recap</x:t>
        </x:is>
      </x:c>
      <x:c r="J45" s="43" t="inlineStr">
        <x:is>
          <x:t xml:space="preserve">Container recap</x:t>
        </x:is>
      </x:c>
      <x:c r="K45" s="43" t="inlineStr">
        <x:is>
          <x:t xml:space="preserve">React perf recap</x:t>
        </x:is>
      </x:c>
      <x:c r="L45" s="42" t="inlineStr">
        <x:is>
          <x:t xml:space="preserve">Retrospective</x:t>
        </x:is>
      </x:c>
      <x:c r="M45" s="42" t="inlineStr">
        <x:is>
          <x:t xml:space="preserve">Update cheatsheets</x:t>
        </x:is>
      </x:c>
      <x:c r="N45" s="44" t="inlineStr">
        <x:is>
          <x:t xml:space="preserve">Not Started</x:t>
        </x:is>
      </x:c>
      <x:c r="O45" s="45" t="n"/>
      <x:c r="P45" s="73">
        <x:f>IF(N45="Done",1,IF(N45="Review",0.75,IF(N45="In Progress",0.5,0)))</x:f>
        <x:v>0</x:v>
      </x:c>
      <x:c r="Q45" s="45" t="n"/>
      <x:c r="R45" s="47" t="n"/>
      <x:c r="S45" s="47" t="n"/>
      <x:c r="T45" s="48" t="n"/>
      <x:c r="U45" s="49">
        <x:f>IF(AND(N45&lt;&gt;"Done",N45&lt;&gt;"Skipped",E45&lt;&gt;"",TODAY()&gt;E45),"Overdue","")</x:f>
      </x:c>
      <x:c r="V45" s="74" t="n"/>
      <x:c r="W45" s="47" t="n"/>
    </x:row>
    <x:row r="46" s="11" customFormat="1" ht="34" customHeight="1">
      <x:c r="A46" s="41" t="n">
        <x:v>43</x:v>
      </x:c>
      <x:c r="B46" s="41" t="n">
        <x:v>7</x:v>
      </x:c>
      <x:c r="C46" s="41" t="inlineStr">
        <x:is>
          <x:t xml:space="preserve">Mon</x:t>
        </x:is>
      </x:c>
      <x:c r="D46" s="41" t="inlineStr">
        <x:is>
          <x:t xml:space="preserve">Weekday</x:t>
        </x:is>
      </x:c>
      <x:c r="E46" s="64">
        <x:f>IF(Dashboard!$B$5="","",Dashboard!$B$5+A46-1)</x:f>
        <x:v>46167</x:v>
      </x:c>
      <x:c r="F46" s="41" t="n">
        <x:v>5</x:v>
      </x:c>
      <x:c r="G46" s="42" t="inlineStr">
        <x:is>
          <x:t xml:space="preserve">Trees advanced, persistence tuning, messaging, UI architecture, event-driven design</x:t>
        </x:is>
      </x:c>
      <x:c r="H46" s="43" t="inlineStr">
        <x:is>
          <x:t xml:space="preserve">Tree diameter</x:t>
        </x:is>
      </x:c>
      <x:c r="I46" s="43" t="inlineStr">
        <x:is>
          <x:t xml:space="preserve">Connection pools and HikariCP</x:t>
        </x:is>
      </x:c>
      <x:c r="J46" s="43" t="inlineStr">
        <x:is>
          <x:t xml:space="preserve">SQS basics</x:t>
        </x:is>
      </x:c>
      <x:c r="K46" s="43" t="inlineStr">
        <x:is>
          <x:t xml:space="preserve">Folder structure for scale</x:t>
        </x:is>
      </x:c>
      <x:c r="L46" s="42" t="inlineStr">
        <x:is>
          <x:t xml:space="preserve">Event-driven vs request-response</x:t>
        </x:is>
      </x:c>
      <x:c r="M46" s="42" t="inlineStr">
        <x:is>
          <x:t xml:space="preserve">Queue producer/consumer demo</x:t>
        </x:is>
      </x:c>
      <x:c r="N46" s="44" t="inlineStr">
        <x:is>
          <x:t xml:space="preserve">Not Started</x:t>
        </x:is>
      </x:c>
      <x:c r="O46" s="45" t="n"/>
      <x:c r="P46" s="73">
        <x:f>IF(N46="Done",1,IF(N46="Review",0.75,IF(N46="In Progress",0.5,0)))</x:f>
        <x:v>0</x:v>
      </x:c>
      <x:c r="Q46" s="45" t="n"/>
      <x:c r="R46" s="47" t="n"/>
      <x:c r="S46" s="47" t="n"/>
      <x:c r="T46" s="48" t="n"/>
      <x:c r="U46" s="49">
        <x:f>IF(AND(N46&lt;&gt;"Done",N46&lt;&gt;"Skipped",E46&lt;&gt;"",TODAY()&gt;E46),"Overdue","")</x:f>
      </x:c>
      <x:c r="V46" s="74" t="n"/>
      <x:c r="W46" s="47" t="n"/>
    </x:row>
    <x:row r="47" s="11" customFormat="1" ht="34" customHeight="1">
      <x:c r="A47" s="41" t="n">
        <x:v>44</x:v>
      </x:c>
      <x:c r="B47" s="41" t="n">
        <x:v>7</x:v>
      </x:c>
      <x:c r="C47" s="41" t="inlineStr">
        <x:is>
          <x:t xml:space="preserve">Tue</x:t>
        </x:is>
      </x:c>
      <x:c r="D47" s="41" t="inlineStr">
        <x:is>
          <x:t xml:space="preserve">Weekday</x:t>
        </x:is>
      </x:c>
      <x:c r="E47" s="64">
        <x:f>IF(Dashboard!$B$5="","",Dashboard!$B$5+A47-1)</x:f>
        <x:v>46168</x:v>
      </x:c>
      <x:c r="F47" s="41" t="n">
        <x:v>5</x:v>
      </x:c>
      <x:c r="G47" s="42" t="inlineStr">
        <x:is>
          <x:t xml:space="preserve">Trees advanced, persistence tuning, messaging, UI architecture, event-driven design</x:t>
        </x:is>
      </x:c>
      <x:c r="H47" s="43" t="inlineStr">
        <x:is>
          <x:t xml:space="preserve">Balanced tree</x:t>
        </x:is>
      </x:c>
      <x:c r="I47" s="43" t="inlineStr">
        <x:is>
          <x:t xml:space="preserve">Indexing and query tuning</x:t>
        </x:is>
      </x:c>
      <x:c r="J47" s="43" t="inlineStr">
        <x:is>
          <x:t xml:space="preserve">SNS basics</x:t>
        </x:is>
      </x:c>
      <x:c r="K47" s="43" t="inlineStr">
        <x:is>
          <x:t xml:space="preserve">Reusable component patterns</x:t>
        </x:is>
      </x:c>
      <x:c r="L47" s="42" t="inlineStr">
        <x:is>
          <x:t xml:space="preserve">Eventual consistency</x:t>
        </x:is>
      </x:c>
      <x:c r="M47" s="42" t="inlineStr">
        <x:is>
          <x:t xml:space="preserve">DB index review</x:t>
        </x:is>
      </x:c>
      <x:c r="N47" s="44" t="inlineStr">
        <x:is>
          <x:t xml:space="preserve">Not Started</x:t>
        </x:is>
      </x:c>
      <x:c r="O47" s="45" t="n"/>
      <x:c r="P47" s="73">
        <x:f>IF(N47="Done",1,IF(N47="Review",0.75,IF(N47="In Progress",0.5,0)))</x:f>
        <x:v>0</x:v>
      </x:c>
      <x:c r="Q47" s="45" t="n"/>
      <x:c r="R47" s="47" t="n"/>
      <x:c r="S47" s="47" t="n"/>
      <x:c r="T47" s="48" t="n"/>
      <x:c r="U47" s="49">
        <x:f>IF(AND(N47&lt;&gt;"Done",N47&lt;&gt;"Skipped",E47&lt;&gt;"",TODAY()&gt;E47),"Overdue","")</x:f>
      </x:c>
      <x:c r="V47" s="74" t="n"/>
      <x:c r="W47" s="47" t="n"/>
    </x:row>
    <x:row r="48" s="11" customFormat="1" ht="34" customHeight="1">
      <x:c r="A48" s="41" t="n">
        <x:v>45</x:v>
      </x:c>
      <x:c r="B48" s="41" t="n">
        <x:v>7</x:v>
      </x:c>
      <x:c r="C48" s="41" t="inlineStr">
        <x:is>
          <x:t xml:space="preserve">Wed</x:t>
        </x:is>
      </x:c>
      <x:c r="D48" s="41" t="inlineStr">
        <x:is>
          <x:t xml:space="preserve">Weekday</x:t>
        </x:is>
      </x:c>
      <x:c r="E48" s="64">
        <x:f>IF(Dashboard!$B$5="","",Dashboard!$B$5+A48-1)</x:f>
        <x:v>46169</x:v>
      </x:c>
      <x:c r="F48" s="41" t="n">
        <x:v>5</x:v>
      </x:c>
      <x:c r="G48" s="42" t="inlineStr">
        <x:is>
          <x:t xml:space="preserve">Trees advanced, persistence tuning, messaging, UI architecture, event-driven design</x:t>
        </x:is>
      </x:c>
      <x:c r="H48" s="43" t="inlineStr">
        <x:is>
          <x:t xml:space="preserve">Path sum</x:t>
        </x:is>
      </x:c>
      <x:c r="I48" s="43" t="inlineStr">
        <x:is>
          <x:t xml:space="preserve">Redis caching in Spring</x:t>
        </x:is>
      </x:c>
      <x:c r="J48" s="43" t="inlineStr">
        <x:is>
          <x:t xml:space="preserve">EventBridge basics</x:t>
        </x:is>
      </x:c>
      <x:c r="K48" s="43" t="inlineStr">
        <x:is>
          <x:t xml:space="preserve">Design-system fundamentals</x:t>
        </x:is>
      </x:c>
      <x:c r="L48" s="42" t="inlineStr">
        <x:is>
          <x:t xml:space="preserve">Outbox pattern</x:t>
        </x:is>
      </x:c>
      <x:c r="M48" s="42" t="inlineStr">
        <x:is>
          <x:t xml:space="preserve">Cache-backed endpoint</x:t>
        </x:is>
      </x:c>
      <x:c r="N48" s="44" t="inlineStr">
        <x:is>
          <x:t xml:space="preserve">Not Started</x:t>
        </x:is>
      </x:c>
      <x:c r="O48" s="45" t="n"/>
      <x:c r="P48" s="73">
        <x:f>IF(N48="Done",1,IF(N48="Review",0.75,IF(N48="In Progress",0.5,0)))</x:f>
        <x:v>0</x:v>
      </x:c>
      <x:c r="Q48" s="45" t="n"/>
      <x:c r="R48" s="47" t="n"/>
      <x:c r="S48" s="47" t="n"/>
      <x:c r="T48" s="48" t="n"/>
      <x:c r="U48" s="49">
        <x:f>IF(AND(N48&lt;&gt;"Done",N48&lt;&gt;"Skipped",E48&lt;&gt;"",TODAY()&gt;E48),"Overdue","")</x:f>
      </x:c>
      <x:c r="V48" s="74" t="n"/>
      <x:c r="W48" s="47" t="n"/>
    </x:row>
    <x:row r="49" s="11" customFormat="1" ht="34" customHeight="1">
      <x:c r="A49" s="41" t="n">
        <x:v>46</x:v>
      </x:c>
      <x:c r="B49" s="41" t="n">
        <x:v>7</x:v>
      </x:c>
      <x:c r="C49" s="41" t="inlineStr">
        <x:is>
          <x:t xml:space="preserve">Thu</x:t>
        </x:is>
      </x:c>
      <x:c r="D49" s="41" t="inlineStr">
        <x:is>
          <x:t xml:space="preserve">Weekday</x:t>
        </x:is>
      </x:c>
      <x:c r="E49" s="64">
        <x:f>IF(Dashboard!$B$5="","",Dashboard!$B$5+A49-1)</x:f>
        <x:v>46170</x:v>
      </x:c>
      <x:c r="F49" s="41" t="n">
        <x:v>5</x:v>
      </x:c>
      <x:c r="G49" s="42" t="inlineStr">
        <x:is>
          <x:t xml:space="preserve">Trees advanced, persistence tuning, messaging, UI architecture, event-driven design</x:t>
        </x:is>
      </x:c>
      <x:c r="H49" s="43" t="inlineStr">
        <x:is>
          <x:t xml:space="preserve">Lowest common ancestor</x:t>
        </x:is>
      </x:c>
      <x:c r="I49" s="43" t="inlineStr">
        <x:is>
          <x:t xml:space="preserve">Structured logging and correlation IDs</x:t>
        </x:is>
      </x:c>
      <x:c r="J49" s="43" t="inlineStr">
        <x:is>
          <x:t xml:space="preserve">SQS/SNS/EventBridge comparison</x:t>
        </x:is>
      </x:c>
      <x:c r="K49" s="43" t="inlineStr">
        <x:is>
          <x:t xml:space="preserve">Accessibility basics</x:t>
        </x:is>
      </x:c>
      <x:c r="L49" s="42" t="inlineStr">
        <x:is>
          <x:t xml:space="preserve">Idempotency and retries</x:t>
        </x:is>
      </x:c>
      <x:c r="M49" s="42" t="inlineStr">
        <x:is>
          <x:t xml:space="preserve">Logging standard adopted</x:t>
        </x:is>
      </x:c>
      <x:c r="N49" s="44" t="inlineStr">
        <x:is>
          <x:t xml:space="preserve">Not Started</x:t>
        </x:is>
      </x:c>
      <x:c r="O49" s="45" t="n"/>
      <x:c r="P49" s="73">
        <x:f>IF(N49="Done",1,IF(N49="Review",0.75,IF(N49="In Progress",0.5,0)))</x:f>
        <x:v>0</x:v>
      </x:c>
      <x:c r="Q49" s="45" t="n"/>
      <x:c r="R49" s="47" t="n"/>
      <x:c r="S49" s="47" t="n"/>
      <x:c r="T49" s="48" t="n"/>
      <x:c r="U49" s="49">
        <x:f>IF(AND(N49&lt;&gt;"Done",N49&lt;&gt;"Skipped",E49&lt;&gt;"",TODAY()&gt;E49),"Overdue","")</x:f>
      </x:c>
      <x:c r="V49" s="74" t="n"/>
      <x:c r="W49" s="47" t="n"/>
    </x:row>
    <x:row r="50" s="11" customFormat="1" ht="34" customHeight="1">
      <x:c r="A50" s="41" t="n">
        <x:v>47</x:v>
      </x:c>
      <x:c r="B50" s="41" t="n">
        <x:v>7</x:v>
      </x:c>
      <x:c r="C50" s="41" t="inlineStr">
        <x:is>
          <x:t xml:space="preserve">Fri</x:t>
        </x:is>
      </x:c>
      <x:c r="D50" s="41" t="inlineStr">
        <x:is>
          <x:t xml:space="preserve">Weekday</x:t>
        </x:is>
      </x:c>
      <x:c r="E50" s="64">
        <x:f>IF(Dashboard!$B$5="","",Dashboard!$B$5+A50-1)</x:f>
        <x:v>46171</x:v>
      </x:c>
      <x:c r="F50" s="41" t="n">
        <x:v>5</x:v>
      </x:c>
      <x:c r="G50" s="42" t="inlineStr">
        <x:is>
          <x:t xml:space="preserve">Trees advanced, persistence tuning, messaging, UI architecture, event-driven design</x:t>
        </x:is>
      </x:c>
      <x:c r="H50" s="43" t="inlineStr">
        <x:is>
          <x:t xml:space="preserve">Serialize/deserialize tree</x:t>
        </x:is>
      </x:c>
      <x:c r="I50" s="43" t="inlineStr">
        <x:is>
          <x:t xml:space="preserve">Database tests with Testcontainers</x:t>
        </x:is>
      </x:c>
      <x:c r="J50" s="43" t="inlineStr">
        <x:is>
          <x:t xml:space="preserve">DLQ and retry patterns</x:t>
        </x:is>
      </x:c>
      <x:c r="K50" s="43" t="inlineStr">
        <x:is>
          <x:t xml:space="preserve">Theming and token system</x:t>
        </x:is>
      </x:c>
      <x:c r="L50" s="42" t="inlineStr">
        <x:is>
          <x:t xml:space="preserve">Domain events and schema evolution</x:t>
        </x:is>
      </x:c>
      <x:c r="M50" s="42" t="inlineStr">
        <x:is>
          <x:t xml:space="preserve">Dead-letter handling lab</x:t>
        </x:is>
      </x:c>
      <x:c r="N50" s="44" t="inlineStr">
        <x:is>
          <x:t xml:space="preserve">Not Started</x:t>
        </x:is>
      </x:c>
      <x:c r="O50" s="45" t="n"/>
      <x:c r="P50" s="73">
        <x:f>IF(N50="Done",1,IF(N50="Review",0.75,IF(N50="In Progress",0.5,0)))</x:f>
        <x:v>0</x:v>
      </x:c>
      <x:c r="Q50" s="45" t="n"/>
      <x:c r="R50" s="47" t="n"/>
      <x:c r="S50" s="47" t="n"/>
      <x:c r="T50" s="48" t="n"/>
      <x:c r="U50" s="49">
        <x:f>IF(AND(N50&lt;&gt;"Done",N50&lt;&gt;"Skipped",E50&lt;&gt;"",TODAY()&gt;E50),"Overdue","")</x:f>
      </x:c>
      <x:c r="V50" s="74" t="n"/>
      <x:c r="W50" s="47" t="n"/>
    </x:row>
    <x:row r="51" s="11" customFormat="1" ht="34" customHeight="1">
      <x:c r="A51" s="41" t="n">
        <x:v>48</x:v>
      </x:c>
      <x:c r="B51" s="41" t="n">
        <x:v>7</x:v>
      </x:c>
      <x:c r="C51" s="41" t="inlineStr">
        <x:is>
          <x:t xml:space="preserve">Sat</x:t>
        </x:is>
      </x:c>
      <x:c r="D51" s="41" t="inlineStr">
        <x:is>
          <x:t xml:space="preserve">Weekend</x:t>
        </x:is>
      </x:c>
      <x:c r="E51" s="64">
        <x:f>IF(Dashboard!$B$5="","",Dashboard!$B$5+A51-1)</x:f>
        <x:v>46172</x:v>
      </x:c>
      <x:c r="F51" s="41" t="n">
        <x:v>8</x:v>
      </x:c>
      <x:c r="G51" s="42" t="inlineStr">
        <x:is>
          <x:t xml:space="preserve">Trees advanced, persistence tuning, messaging, UI architecture, event-driven design</x:t>
        </x:is>
      </x:c>
      <x:c r="H51" s="43" t="inlineStr">
        <x:is>
          <x:t xml:space="preserve">Weekend drill: 4 tree problems</x:t>
        </x:is>
      </x:c>
      <x:c r="I51" s="43" t="inlineStr">
        <x:is>
          <x:t xml:space="preserve">Spring service with cache + queue</x:t>
        </x:is>
      </x:c>
      <x:c r="J51" s="43" t="inlineStr">
        <x:is>
          <x:t xml:space="preserve">Event pipeline lab</x:t>
        </x:is>
      </x:c>
      <x:c r="K51" s="43" t="inlineStr">
        <x:is>
          <x:t xml:space="preserve">Component library starter</x:t>
        </x:is>
      </x:c>
      <x:c r="L51" s="42" t="inlineStr">
        <x:is>
          <x:t xml:space="preserve">Event-driven design review</x:t>
        </x:is>
      </x:c>
      <x:c r="M51" s="42" t="inlineStr">
        <x:is>
          <x:t xml:space="preserve">Milestone: async processing path</x:t>
        </x:is>
      </x:c>
      <x:c r="N51" s="44" t="inlineStr">
        <x:is>
          <x:t xml:space="preserve">Not Started</x:t>
        </x:is>
      </x:c>
      <x:c r="O51" s="45" t="n"/>
      <x:c r="P51" s="73">
        <x:f>IF(N51="Done",1,IF(N51="Review",0.75,IF(N51="In Progress",0.5,0)))</x:f>
        <x:v>0</x:v>
      </x:c>
      <x:c r="Q51" s="45" t="n"/>
      <x:c r="R51" s="47" t="n"/>
      <x:c r="S51" s="47" t="n"/>
      <x:c r="T51" s="48" t="n"/>
      <x:c r="U51" s="49">
        <x:f>IF(AND(N51&lt;&gt;"Done",N51&lt;&gt;"Skipped",E51&lt;&gt;"",TODAY()&gt;E51),"Overdue","")</x:f>
      </x:c>
      <x:c r="V51" s="74" t="n"/>
      <x:c r="W51" s="47" t="n"/>
    </x:row>
    <x:row r="52" s="11" customFormat="1" ht="34" customHeight="1">
      <x:c r="A52" s="41" t="n">
        <x:v>49</x:v>
      </x:c>
      <x:c r="B52" s="41" t="n">
        <x:v>7</x:v>
      </x:c>
      <x:c r="C52" s="41" t="inlineStr">
        <x:is>
          <x:t xml:space="preserve">Sun</x:t>
        </x:is>
      </x:c>
      <x:c r="D52" s="41" t="inlineStr">
        <x:is>
          <x:t xml:space="preserve">Weekend</x:t>
        </x:is>
      </x:c>
      <x:c r="E52" s="64">
        <x:f>IF(Dashboard!$B$5="","",Dashboard!$B$5+A52-1)</x:f>
        <x:v>46173</x:v>
      </x:c>
      <x:c r="F52" s="41" t="n">
        <x:v>8</x:v>
      </x:c>
      <x:c r="G52" s="42" t="inlineStr">
        <x:is>
          <x:t xml:space="preserve">Trees advanced, persistence tuning, messaging, UI architecture, event-driven design</x:t>
        </x:is>
      </x:c>
      <x:c r="H52" s="43" t="inlineStr">
        <x:is>
          <x:t xml:space="preserve">Weekly review + timed set</x:t>
        </x:is>
      </x:c>
      <x:c r="I52" s="43" t="inlineStr">
        <x:is>
          <x:t xml:space="preserve">Backend recap</x:t>
        </x:is>
      </x:c>
      <x:c r="J52" s="43" t="inlineStr">
        <x:is>
          <x:t xml:space="preserve">Messaging recap</x:t>
        </x:is>
      </x:c>
      <x:c r="K52" s="43" t="inlineStr">
        <x:is>
          <x:t xml:space="preserve">UI architecture recap</x:t>
        </x:is>
      </x:c>
      <x:c r="L52" s="42" t="inlineStr">
        <x:is>
          <x:t xml:space="preserve">Retrospective</x:t>
        </x:is>
      </x:c>
      <x:c r="M52" s="42" t="inlineStr">
        <x:is>
          <x:t xml:space="preserve">Update diagrams</x:t>
        </x:is>
      </x:c>
      <x:c r="N52" s="44" t="inlineStr">
        <x:is>
          <x:t xml:space="preserve">Not Started</x:t>
        </x:is>
      </x:c>
      <x:c r="O52" s="45" t="n"/>
      <x:c r="P52" s="73">
        <x:f>IF(N52="Done",1,IF(N52="Review",0.75,IF(N52="In Progress",0.5,0)))</x:f>
        <x:v>0</x:v>
      </x:c>
      <x:c r="Q52" s="45" t="n"/>
      <x:c r="R52" s="47" t="n"/>
      <x:c r="S52" s="47" t="n"/>
      <x:c r="T52" s="48" t="n"/>
      <x:c r="U52" s="49">
        <x:f>IF(AND(N52&lt;&gt;"Done",N52&lt;&gt;"Skipped",E52&lt;&gt;"",TODAY()&gt;E52),"Overdue","")</x:f>
      </x:c>
      <x:c r="V52" s="74" t="n"/>
      <x:c r="W52" s="47" t="n"/>
    </x:row>
    <x:row r="53" s="11" customFormat="1" ht="34" customHeight="1">
      <x:c r="A53" s="41" t="n">
        <x:v>50</x:v>
      </x:c>
      <x:c r="B53" s="41" t="n">
        <x:v>8</x:v>
      </x:c>
      <x:c r="C53" s="41" t="inlineStr">
        <x:is>
          <x:t xml:space="preserve">Mon</x:t>
        </x:is>
      </x:c>
      <x:c r="D53" s="41" t="inlineStr">
        <x:is>
          <x:t xml:space="preserve">Weekday</x:t>
        </x:is>
      </x:c>
      <x:c r="E53" s="64">
        <x:f>IF(Dashboard!$B$5="","",Dashboard!$B$5+A53-1)</x:f>
        <x:v>46174</x:v>
      </x:c>
      <x:c r="F53" s="41" t="n">
        <x:v>5</x:v>
      </x:c>
      <x:c r="G53" s="42" t="inlineStr">
        <x:is>
          <x:t xml:space="preserve">Graphs, Spring Cloud patterns, observability, frontend testing, reliability</x:t>
        </x:is>
      </x:c>
      <x:c r="H53" s="43" t="inlineStr">
        <x:is>
          <x:t xml:space="preserve">Graph representation + BFS</x:t>
        </x:is>
      </x:c>
      <x:c r="I53" s="43" t="inlineStr">
        <x:is>
          <x:t xml:space="preserve">Feign and client abstractions</x:t>
        </x:is>
      </x:c>
      <x:c r="J53" s="43" t="inlineStr">
        <x:is>
          <x:t xml:space="preserve">CloudWatch logs and metrics</x:t>
        </x:is>
      </x:c>
      <x:c r="K53" s="43" t="inlineStr">
        <x:is>
          <x:t xml:space="preserve">Jest basics</x:t>
        </x:is>
      </x:c>
      <x:c r="L53" s="42" t="inlineStr">
        <x:is>
          <x:t xml:space="preserve">SLIs, SLOs, SLAs</x:t>
        </x:is>
      </x:c>
      <x:c r="M53" s="42" t="inlineStr">
        <x:is>
          <x:t xml:space="preserve">Enable logs/metrics for one app</x:t>
        </x:is>
      </x:c>
      <x:c r="N53" s="44" t="inlineStr">
        <x:is>
          <x:t xml:space="preserve">Not Started</x:t>
        </x:is>
      </x:c>
      <x:c r="O53" s="45" t="n"/>
      <x:c r="P53" s="73">
        <x:f>IF(N53="Done",1,IF(N53="Review",0.75,IF(N53="In Progress",0.5,0)))</x:f>
        <x:v>0</x:v>
      </x:c>
      <x:c r="Q53" s="45" t="n"/>
      <x:c r="R53" s="47" t="n"/>
      <x:c r="S53" s="47" t="n"/>
      <x:c r="T53" s="48" t="n"/>
      <x:c r="U53" s="49">
        <x:f>IF(AND(N53&lt;&gt;"Done",N53&lt;&gt;"Skipped",E53&lt;&gt;"",TODAY()&gt;E53),"Overdue","")</x:f>
      </x:c>
      <x:c r="V53" s="74" t="n"/>
      <x:c r="W53" s="47" t="n"/>
    </x:row>
    <x:row r="54" s="11" customFormat="1" ht="34" customHeight="1">
      <x:c r="A54" s="41" t="n">
        <x:v>51</x:v>
      </x:c>
      <x:c r="B54" s="41" t="n">
        <x:v>8</x:v>
      </x:c>
      <x:c r="C54" s="41" t="inlineStr">
        <x:is>
          <x:t xml:space="preserve">Tue</x:t>
        </x:is>
      </x:c>
      <x:c r="D54" s="41" t="inlineStr">
        <x:is>
          <x:t xml:space="preserve">Weekday</x:t>
        </x:is>
      </x:c>
      <x:c r="E54" s="64">
        <x:f>IF(Dashboard!$B$5="","",Dashboard!$B$5+A54-1)</x:f>
        <x:v>46175</x:v>
      </x:c>
      <x:c r="F54" s="41" t="n">
        <x:v>5</x:v>
      </x:c>
      <x:c r="G54" s="42" t="inlineStr">
        <x:is>
          <x:t xml:space="preserve">Graphs, Spring Cloud patterns, observability, frontend testing, reliability</x:t>
        </x:is>
      </x:c>
      <x:c r="H54" s="43" t="inlineStr">
        <x:is>
          <x:t xml:space="preserve">DFS / connected components</x:t>
        </x:is>
      </x:c>
      <x:c r="I54" s="43" t="inlineStr">
        <x:is>
          <x:t xml:space="preserve">Gateway pattern for services</x:t>
        </x:is>
      </x:c>
      <x:c r="J54" s="43" t="inlineStr">
        <x:is>
          <x:t xml:space="preserve">Alarms and dashboards</x:t>
        </x:is>
      </x:c>
      <x:c r="K54" s="43" t="inlineStr">
        <x:is>
          <x:t xml:space="preserve">React Testing Library basics</x:t>
        </x:is>
      </x:c>
      <x:c r="L54" s="42" t="inlineStr">
        <x:is>
          <x:t xml:space="preserve">Resilience patterns overview</x:t>
        </x:is>
      </x:c>
      <x:c r="M54" s="42" t="inlineStr">
        <x:is>
          <x:t xml:space="preserve">Create dashboard/alarms</x:t>
        </x:is>
      </x:c>
      <x:c r="N54" s="44" t="inlineStr">
        <x:is>
          <x:t xml:space="preserve">Not Started</x:t>
        </x:is>
      </x:c>
      <x:c r="O54" s="45" t="n"/>
      <x:c r="P54" s="73">
        <x:f>IF(N54="Done",1,IF(N54="Review",0.75,IF(N54="In Progress",0.5,0)))</x:f>
        <x:v>0</x:v>
      </x:c>
      <x:c r="Q54" s="45" t="n"/>
      <x:c r="R54" s="47" t="n"/>
      <x:c r="S54" s="47" t="n"/>
      <x:c r="T54" s="48" t="n"/>
      <x:c r="U54" s="49">
        <x:f>IF(AND(N54&lt;&gt;"Done",N54&lt;&gt;"Skipped",E54&lt;&gt;"",TODAY()&gt;E54),"Overdue","")</x:f>
      </x:c>
      <x:c r="V54" s="74" t="n"/>
      <x:c r="W54" s="47" t="n"/>
    </x:row>
    <x:row r="55" s="11" customFormat="1" ht="34" customHeight="1">
      <x:c r="A55" s="41" t="n">
        <x:v>52</x:v>
      </x:c>
      <x:c r="B55" s="41" t="n">
        <x:v>8</x:v>
      </x:c>
      <x:c r="C55" s="41" t="inlineStr">
        <x:is>
          <x:t xml:space="preserve">Wed</x:t>
        </x:is>
      </x:c>
      <x:c r="D55" s="41" t="inlineStr">
        <x:is>
          <x:t xml:space="preserve">Weekday</x:t>
        </x:is>
      </x:c>
      <x:c r="E55" s="64">
        <x:f>IF(Dashboard!$B$5="","",Dashboard!$B$5+A55-1)</x:f>
        <x:v>46176</x:v>
      </x:c>
      <x:c r="F55" s="41" t="n">
        <x:v>5</x:v>
      </x:c>
      <x:c r="G55" s="42" t="inlineStr">
        <x:is>
          <x:t xml:space="preserve">Graphs, Spring Cloud patterns, observability, frontend testing, reliability</x:t>
        </x:is>
      </x:c>
      <x:c r="H55" s="43" t="inlineStr">
        <x:is>
          <x:t xml:space="preserve">Number of Islands</x:t>
        </x:is>
      </x:c>
      <x:c r="I55" s="43" t="inlineStr">
        <x:is>
          <x:t xml:space="preserve">Central config pattern</x:t>
        </x:is>
      </x:c>
      <x:c r="J55" s="43" t="inlineStr">
        <x:is>
          <x:t xml:space="preserve">Tracing concepts and AWS X-Ray</x:t>
        </x:is>
      </x:c>
      <x:c r="K55" s="43" t="inlineStr">
        <x:is>
          <x:t xml:space="preserve">Component tests</x:t>
        </x:is>
      </x:c>
      <x:c r="L55" s="42" t="inlineStr">
        <x:is>
          <x:t xml:space="preserve">Timeouts, retries, circuit breakers</x:t>
        </x:is>
      </x:c>
      <x:c r="M55" s="42" t="inlineStr">
        <x:is>
          <x:t xml:space="preserve">Trace one request</x:t>
        </x:is>
      </x:c>
      <x:c r="N55" s="44" t="inlineStr">
        <x:is>
          <x:t xml:space="preserve">Not Started</x:t>
        </x:is>
      </x:c>
      <x:c r="O55" s="45" t="n"/>
      <x:c r="P55" s="73">
        <x:f>IF(N55="Done",1,IF(N55="Review",0.75,IF(N55="In Progress",0.5,0)))</x:f>
        <x:v>0</x:v>
      </x:c>
      <x:c r="Q55" s="45" t="n"/>
      <x:c r="R55" s="47" t="n"/>
      <x:c r="S55" s="47" t="n"/>
      <x:c r="T55" s="48" t="n"/>
      <x:c r="U55" s="49">
        <x:f>IF(AND(N55&lt;&gt;"Done",N55&lt;&gt;"Skipped",E55&lt;&gt;"",TODAY()&gt;E55),"Overdue","")</x:f>
      </x:c>
      <x:c r="V55" s="74" t="n"/>
      <x:c r="W55" s="47" t="n"/>
    </x:row>
    <x:row r="56" s="11" customFormat="1" ht="34" customHeight="1">
      <x:c r="A56" s="41" t="n">
        <x:v>53</x:v>
      </x:c>
      <x:c r="B56" s="41" t="n">
        <x:v>8</x:v>
      </x:c>
      <x:c r="C56" s="41" t="inlineStr">
        <x:is>
          <x:t xml:space="preserve">Thu</x:t>
        </x:is>
      </x:c>
      <x:c r="D56" s="41" t="inlineStr">
        <x:is>
          <x:t xml:space="preserve">Weekday</x:t>
        </x:is>
      </x:c>
      <x:c r="E56" s="64">
        <x:f>IF(Dashboard!$B$5="","",Dashboard!$B$5+A56-1)</x:f>
        <x:v>46177</x:v>
      </x:c>
      <x:c r="F56" s="41" t="n">
        <x:v>5</x:v>
      </x:c>
      <x:c r="G56" s="42" t="inlineStr">
        <x:is>
          <x:t xml:space="preserve">Graphs, Spring Cloud patterns, observability, frontend testing, reliability</x:t>
        </x:is>
      </x:c>
      <x:c r="H56" s="43" t="inlineStr">
        <x:is>
          <x:t xml:space="preserve">Course Schedule / topo sort</x:t>
        </x:is>
      </x:c>
      <x:c r="I56" s="43" t="inlineStr">
        <x:is>
          <x:t xml:space="preserve">Service discovery or registry pattern</x:t>
        </x:is>
      </x:c>
      <x:c r="J56" s="43" t="inlineStr">
        <x:is>
          <x:t xml:space="preserve">Centralized logging pipeline</x:t>
        </x:is>
      </x:c>
      <x:c r="K56" s="43" t="inlineStr">
        <x:is>
          <x:t xml:space="preserve">Integration tests with API mocks</x:t>
        </x:is>
      </x:c>
      <x:c r="L56" s="42" t="inlineStr">
        <x:is>
          <x:t xml:space="preserve">Bulkhead and backpressure</x:t>
        </x:is>
      </x:c>
      <x:c r="M56" s="42" t="inlineStr">
        <x:is>
          <x:t xml:space="preserve">Reliability notes updated</x:t>
        </x:is>
      </x:c>
      <x:c r="N56" s="44" t="inlineStr">
        <x:is>
          <x:t xml:space="preserve">Not Started</x:t>
        </x:is>
      </x:c>
      <x:c r="O56" s="45" t="n"/>
      <x:c r="P56" s="73">
        <x:f>IF(N56="Done",1,IF(N56="Review",0.75,IF(N56="In Progress",0.5,0)))</x:f>
        <x:v>0</x:v>
      </x:c>
      <x:c r="Q56" s="45" t="n"/>
      <x:c r="R56" s="47" t="n"/>
      <x:c r="S56" s="47" t="n"/>
      <x:c r="T56" s="48" t="n"/>
      <x:c r="U56" s="49">
        <x:f>IF(AND(N56&lt;&gt;"Done",N56&lt;&gt;"Skipped",E56&lt;&gt;"",TODAY()&gt;E56),"Overdue","")</x:f>
      </x:c>
      <x:c r="V56" s="74" t="n"/>
      <x:c r="W56" s="47" t="n"/>
    </x:row>
    <x:row r="57" s="11" customFormat="1" ht="34" customHeight="1">
      <x:c r="A57" s="41" t="n">
        <x:v>54</x:v>
      </x:c>
      <x:c r="B57" s="41" t="n">
        <x:v>8</x:v>
      </x:c>
      <x:c r="C57" s="41" t="inlineStr">
        <x:is>
          <x:t xml:space="preserve">Fri</x:t>
        </x:is>
      </x:c>
      <x:c r="D57" s="41" t="inlineStr">
        <x:is>
          <x:t xml:space="preserve">Weekday</x:t>
        </x:is>
      </x:c>
      <x:c r="E57" s="64">
        <x:f>IF(Dashboard!$B$5="","",Dashboard!$B$5+A57-1)</x:f>
        <x:v>46178</x:v>
      </x:c>
      <x:c r="F57" s="41" t="n">
        <x:v>5</x:v>
      </x:c>
      <x:c r="G57" s="42" t="inlineStr">
        <x:is>
          <x:t xml:space="preserve">Graphs, Spring Cloud patterns, observability, frontend testing, reliability</x:t>
        </x:is>
      </x:c>
      <x:c r="H57" s="43" t="inlineStr">
        <x:is>
          <x:t xml:space="preserve">Clone Graph</x:t>
        </x:is>
      </x:c>
      <x:c r="I57" s="43" t="inlineStr">
        <x:is>
          <x:t xml:space="preserve">Resilience4j circuit breaker + retry</x:t>
        </x:is>
      </x:c>
      <x:c r="J57" s="43" t="inlineStr">
        <x:is>
          <x:t xml:space="preserve">Health checks and autoscaling signals</x:t>
        </x:is>
      </x:c>
      <x:c r="K57" s="43" t="inlineStr">
        <x:is>
          <x:t xml:space="preserve">E2E basics</x:t>
        </x:is>
      </x:c>
      <x:c r="L57" s="42" t="inlineStr">
        <x:is>
          <x:t xml:space="preserve">Failure modes and chaos thinking</x:t>
        </x:is>
      </x:c>
      <x:c r="M57" s="42" t="inlineStr">
        <x:is>
          <x:t xml:space="preserve">Add retry/circuit breaker to service</x:t>
        </x:is>
      </x:c>
      <x:c r="N57" s="44" t="inlineStr">
        <x:is>
          <x:t xml:space="preserve">Not Started</x:t>
        </x:is>
      </x:c>
      <x:c r="O57" s="45" t="n"/>
      <x:c r="P57" s="73">
        <x:f>IF(N57="Done",1,IF(N57="Review",0.75,IF(N57="In Progress",0.5,0)))</x:f>
        <x:v>0</x:v>
      </x:c>
      <x:c r="Q57" s="45" t="n"/>
      <x:c r="R57" s="47" t="n"/>
      <x:c r="S57" s="47" t="n"/>
      <x:c r="T57" s="48" t="n"/>
      <x:c r="U57" s="49">
        <x:f>IF(AND(N57&lt;&gt;"Done",N57&lt;&gt;"Skipped",E57&lt;&gt;"",TODAY()&gt;E57),"Overdue","")</x:f>
      </x:c>
      <x:c r="V57" s="74" t="n"/>
      <x:c r="W57" s="47" t="n"/>
    </x:row>
    <x:row r="58" s="11" customFormat="1" ht="34" customHeight="1">
      <x:c r="A58" s="41" t="n">
        <x:v>55</x:v>
      </x:c>
      <x:c r="B58" s="41" t="n">
        <x:v>8</x:v>
      </x:c>
      <x:c r="C58" s="41" t="inlineStr">
        <x:is>
          <x:t xml:space="preserve">Sat</x:t>
        </x:is>
      </x:c>
      <x:c r="D58" s="41" t="inlineStr">
        <x:is>
          <x:t xml:space="preserve">Weekend</x:t>
        </x:is>
      </x:c>
      <x:c r="E58" s="64">
        <x:f>IF(Dashboard!$B$5="","",Dashboard!$B$5+A58-1)</x:f>
        <x:v>46179</x:v>
      </x:c>
      <x:c r="F58" s="41" t="n">
        <x:v>8</x:v>
      </x:c>
      <x:c r="G58" s="42" t="inlineStr">
        <x:is>
          <x:t xml:space="preserve">Graphs, Spring Cloud patterns, observability, frontend testing, reliability</x:t>
        </x:is>
      </x:c>
      <x:c r="H58" s="43" t="inlineStr">
        <x:is>
          <x:t xml:space="preserve">Weekend drill: 4 graph problems</x:t>
        </x:is>
      </x:c>
      <x:c r="I58" s="43" t="inlineStr">
        <x:is>
          <x:t xml:space="preserve">Instrument one microservice</x:t>
        </x:is>
      </x:c>
      <x:c r="J58" s="43" t="inlineStr">
        <x:is>
          <x:t xml:space="preserve">Observe app in AWS</x:t>
        </x:is>
      </x:c>
      <x:c r="K58" s="43" t="inlineStr">
        <x:is>
          <x:t xml:space="preserve">Test one full flow</x:t>
        </x:is>
      </x:c>
      <x:c r="L58" s="42" t="inlineStr">
        <x:is>
          <x:t xml:space="preserve">Reliability review</x:t>
        </x:is>
      </x:c>
      <x:c r="M58" s="42" t="inlineStr">
        <x:is>
          <x:t xml:space="preserve">Milestone: observable service</x:t>
        </x:is>
      </x:c>
      <x:c r="N58" s="44" t="inlineStr">
        <x:is>
          <x:t xml:space="preserve">Not Started</x:t>
        </x:is>
      </x:c>
      <x:c r="O58" s="45" t="n"/>
      <x:c r="P58" s="73">
        <x:f>IF(N58="Done",1,IF(N58="Review",0.75,IF(N58="In Progress",0.5,0)))</x:f>
        <x:v>0</x:v>
      </x:c>
      <x:c r="Q58" s="45" t="n"/>
      <x:c r="R58" s="47" t="n"/>
      <x:c r="S58" s="47" t="n"/>
      <x:c r="T58" s="48" t="n"/>
      <x:c r="U58" s="49">
        <x:f>IF(AND(N58&lt;&gt;"Done",N58&lt;&gt;"Skipped",E58&lt;&gt;"",TODAY()&gt;E58),"Overdue","")</x:f>
      </x:c>
      <x:c r="V58" s="74" t="n"/>
      <x:c r="W58" s="47" t="n"/>
    </x:row>
    <x:row r="59" s="11" customFormat="1" ht="34" customHeight="1">
      <x:c r="A59" s="41" t="n">
        <x:v>56</x:v>
      </x:c>
      <x:c r="B59" s="41" t="n">
        <x:v>8</x:v>
      </x:c>
      <x:c r="C59" s="41" t="inlineStr">
        <x:is>
          <x:t xml:space="preserve">Sun</x:t>
        </x:is>
      </x:c>
      <x:c r="D59" s="41" t="inlineStr">
        <x:is>
          <x:t xml:space="preserve">Weekend</x:t>
        </x:is>
      </x:c>
      <x:c r="E59" s="64">
        <x:f>IF(Dashboard!$B$5="","",Dashboard!$B$5+A59-1)</x:f>
        <x:v>46180</x:v>
      </x:c>
      <x:c r="F59" s="41" t="n">
        <x:v>8</x:v>
      </x:c>
      <x:c r="G59" s="42" t="inlineStr">
        <x:is>
          <x:t xml:space="preserve">Graphs, Spring Cloud patterns, observability, frontend testing, reliability</x:t>
        </x:is>
      </x:c>
      <x:c r="H59" s="43" t="inlineStr">
        <x:is>
          <x:t xml:space="preserve">Weekly review + timed set</x:t>
        </x:is>
      </x:c>
      <x:c r="I59" s="43" t="inlineStr">
        <x:is>
          <x:t xml:space="preserve">Microservice recap</x:t>
        </x:is>
      </x:c>
      <x:c r="J59" s="43" t="inlineStr">
        <x:is>
          <x:t xml:space="preserve">Observability recap</x:t>
        </x:is>
      </x:c>
      <x:c r="K59" s="43" t="inlineStr">
        <x:is>
          <x:t xml:space="preserve">Testing recap</x:t>
        </x:is>
      </x:c>
      <x:c r="L59" s="42" t="inlineStr">
        <x:is>
          <x:t xml:space="preserve">Retrospective</x:t>
        </x:is>
      </x:c>
      <x:c r="M59" s="42" t="inlineStr">
        <x:is>
          <x:t xml:space="preserve">Update runbook</x:t>
        </x:is>
      </x:c>
      <x:c r="N59" s="44" t="inlineStr">
        <x:is>
          <x:t xml:space="preserve">Not Started</x:t>
        </x:is>
      </x:c>
      <x:c r="O59" s="45" t="n"/>
      <x:c r="P59" s="73">
        <x:f>IF(N59="Done",1,IF(N59="Review",0.75,IF(N59="In Progress",0.5,0)))</x:f>
        <x:v>0</x:v>
      </x:c>
      <x:c r="Q59" s="45" t="n"/>
      <x:c r="R59" s="47" t="n"/>
      <x:c r="S59" s="47" t="n"/>
      <x:c r="T59" s="48" t="n"/>
      <x:c r="U59" s="49">
        <x:f>IF(AND(N59&lt;&gt;"Done",N59&lt;&gt;"Skipped",E59&lt;&gt;"",TODAY()&gt;E59),"Overdue","")</x:f>
      </x:c>
      <x:c r="V59" s="74" t="n"/>
      <x:c r="W59" s="47" t="n"/>
    </x:row>
    <x:row r="60" s="11" customFormat="1" ht="34" customHeight="1">
      <x:c r="A60" s="41" t="n">
        <x:v>57</x:v>
      </x:c>
      <x:c r="B60" s="41" t="n">
        <x:v>9</x:v>
      </x:c>
      <x:c r="C60" s="41" t="inlineStr">
        <x:is>
          <x:t xml:space="preserve">Mon</x:t>
        </x:is>
      </x:c>
      <x:c r="D60" s="41" t="inlineStr">
        <x:is>
          <x:t xml:space="preserve">Weekday</x:t>
        </x:is>
      </x:c>
      <x:c r="E60" s="64">
        <x:f>IF(Dashboard!$B$5="","",Dashboard!$B$5+A60-1)</x:f>
        <x:v>46181</x:v>
      </x:c>
      <x:c r="F60" s="41" t="n">
        <x:v>5</x:v>
      </x:c>
      <x:c r="G60" s="42" t="inlineStr">
        <x:is>
          <x:t xml:space="preserve">DP basics, async Java, Redis patterns, TypeScript basics, caching strategy</x:t>
        </x:is>
      </x:c>
      <x:c r="H60" s="43" t="inlineStr">
        <x:is>
          <x:t xml:space="preserve">Fibonacci / DP state</x:t>
        </x:is>
      </x:c>
      <x:c r="I60" s="43" t="inlineStr">
        <x:is>
          <x:t xml:space="preserve">Async APIs with CompletableFuture</x:t>
        </x:is>
      </x:c>
      <x:c r="J60" s="43" t="inlineStr">
        <x:is>
          <x:t xml:space="preserve">Redis basics / ElastiCache concepts</x:t>
        </x:is>
      </x:c>
      <x:c r="K60" s="43" t="inlineStr">
        <x:is>
          <x:t xml:space="preserve">TypeScript basics for React</x:t>
        </x:is>
      </x:c>
      <x:c r="L60" s="42" t="inlineStr">
        <x:is>
          <x:t xml:space="preserve">Caching strategy selection</x:t>
        </x:is>
      </x:c>
      <x:c r="M60" s="42" t="inlineStr">
        <x:is>
          <x:t xml:space="preserve">Add TS to one feature</x:t>
        </x:is>
      </x:c>
      <x:c r="N60" s="44" t="inlineStr">
        <x:is>
          <x:t xml:space="preserve">Not Started</x:t>
        </x:is>
      </x:c>
      <x:c r="O60" s="45" t="n"/>
      <x:c r="P60" s="73">
        <x:f>IF(N60="Done",1,IF(N60="Review",0.75,IF(N60="In Progress",0.5,0)))</x:f>
        <x:v>0</x:v>
      </x:c>
      <x:c r="Q60" s="45" t="n"/>
      <x:c r="R60" s="47" t="n"/>
      <x:c r="S60" s="47" t="n"/>
      <x:c r="T60" s="48" t="n"/>
      <x:c r="U60" s="49">
        <x:f>IF(AND(N60&lt;&gt;"Done",N60&lt;&gt;"Skipped",E60&lt;&gt;"",TODAY()&gt;E60),"Overdue","")</x:f>
      </x:c>
      <x:c r="V60" s="74" t="n"/>
      <x:c r="W60" s="47" t="n"/>
    </x:row>
    <x:row r="61" s="11" customFormat="1" ht="34" customHeight="1">
      <x:c r="A61" s="41" t="n">
        <x:v>58</x:v>
      </x:c>
      <x:c r="B61" s="41" t="n">
        <x:v>9</x:v>
      </x:c>
      <x:c r="C61" s="41" t="inlineStr">
        <x:is>
          <x:t xml:space="preserve">Tue</x:t>
        </x:is>
      </x:c>
      <x:c r="D61" s="41" t="inlineStr">
        <x:is>
          <x:t xml:space="preserve">Weekday</x:t>
        </x:is>
      </x:c>
      <x:c r="E61" s="64">
        <x:f>IF(Dashboard!$B$5="","",Dashboard!$B$5+A61-1)</x:f>
        <x:v>46182</x:v>
      </x:c>
      <x:c r="F61" s="41" t="n">
        <x:v>5</x:v>
      </x:c>
      <x:c r="G61" s="42" t="inlineStr">
        <x:is>
          <x:t xml:space="preserve">DP basics, async Java, Redis patterns, TypeScript basics, caching strategy</x:t>
        </x:is>
      </x:c>
      <x:c r="H61" s="43" t="inlineStr">
        <x:is>
          <x:t xml:space="preserve">Climbing Stairs</x:t>
        </x:is>
      </x:c>
      <x:c r="I61" s="43" t="inlineStr">
        <x:is>
          <x:t xml:space="preserve">Virtual threads vs pool decisions</x:t>
        </x:is>
      </x:c>
      <x:c r="J61" s="43" t="inlineStr">
        <x:is>
          <x:t xml:space="preserve">Redis cache/session patterns</x:t>
        </x:is>
      </x:c>
      <x:c r="K61" s="43" t="inlineStr">
        <x:is>
          <x:t xml:space="preserve">Typing props and state</x:t>
        </x:is>
      </x:c>
      <x:c r="L61" s="42" t="inlineStr">
        <x:is>
          <x:t xml:space="preserve">Read-through vs write-through cache</x:t>
        </x:is>
      </x:c>
      <x:c r="M61" s="42" t="inlineStr">
        <x:is>
          <x:t xml:space="preserve">Document virtual-thread use cases</x:t>
        </x:is>
      </x:c>
      <x:c r="N61" s="44" t="inlineStr">
        <x:is>
          <x:t xml:space="preserve">Not Started</x:t>
        </x:is>
      </x:c>
      <x:c r="O61" s="45" t="n"/>
      <x:c r="P61" s="73">
        <x:f>IF(N61="Done",1,IF(N61="Review",0.75,IF(N61="In Progress",0.5,0)))</x:f>
        <x:v>0</x:v>
      </x:c>
      <x:c r="Q61" s="45" t="n"/>
      <x:c r="R61" s="47" t="n"/>
      <x:c r="S61" s="47" t="n"/>
      <x:c r="T61" s="48" t="n"/>
      <x:c r="U61" s="49">
        <x:f>IF(AND(N61&lt;&gt;"Done",N61&lt;&gt;"Skipped",E61&lt;&gt;"",TODAY()&gt;E61),"Overdue","")</x:f>
      </x:c>
      <x:c r="V61" s="74" t="n"/>
      <x:c r="W61" s="47" t="n"/>
    </x:row>
    <x:row r="62" s="11" customFormat="1" ht="34" customHeight="1">
      <x:c r="A62" s="41" t="n">
        <x:v>59</x:v>
      </x:c>
      <x:c r="B62" s="41" t="n">
        <x:v>9</x:v>
      </x:c>
      <x:c r="C62" s="41" t="inlineStr">
        <x:is>
          <x:t xml:space="preserve">Wed</x:t>
        </x:is>
      </x:c>
      <x:c r="D62" s="41" t="inlineStr">
        <x:is>
          <x:t xml:space="preserve">Weekday</x:t>
        </x:is>
      </x:c>
      <x:c r="E62" s="64">
        <x:f>IF(Dashboard!$B$5="","",Dashboard!$B$5+A62-1)</x:f>
        <x:v>46183</x:v>
      </x:c>
      <x:c r="F62" s="41" t="n">
        <x:v>5</x:v>
      </x:c>
      <x:c r="G62" s="42" t="inlineStr">
        <x:is>
          <x:t xml:space="preserve">DP basics, async Java, Redis patterns, TypeScript basics, caching strategy</x:t>
        </x:is>
      </x:c>
      <x:c r="H62" s="43" t="inlineStr">
        <x:is>
          <x:t xml:space="preserve">House Robber</x:t>
        </x:is>
      </x:c>
      <x:c r="I62" s="43" t="inlineStr">
        <x:is>
          <x:t xml:space="preserve">Producer-consumer concurrency pattern</x:t>
        </x:is>
      </x:c>
      <x:c r="J62" s="43" t="inlineStr">
        <x:is>
          <x:t xml:space="preserve">TTL, eviction, hot key issues</x:t>
        </x:is>
      </x:c>
      <x:c r="K62" s="43" t="inlineStr">
        <x:is>
          <x:t xml:space="preserve">Typing API responses</x:t>
        </x:is>
      </x:c>
      <x:c r="L62" s="42" t="inlineStr">
        <x:is>
          <x:t xml:space="preserve">Cache invalidation</x:t>
        </x:is>
      </x:c>
      <x:c r="M62" s="42" t="inlineStr">
        <x:is>
          <x:t xml:space="preserve">Cache-enabled endpoint</x:t>
        </x:is>
      </x:c>
      <x:c r="N62" s="44" t="inlineStr">
        <x:is>
          <x:t xml:space="preserve">Not Started</x:t>
        </x:is>
      </x:c>
      <x:c r="O62" s="45" t="n"/>
      <x:c r="P62" s="73">
        <x:f>IF(N62="Done",1,IF(N62="Review",0.75,IF(N62="In Progress",0.5,0)))</x:f>
        <x:v>0</x:v>
      </x:c>
      <x:c r="Q62" s="45" t="n"/>
      <x:c r="R62" s="47" t="n"/>
      <x:c r="S62" s="47" t="n"/>
      <x:c r="T62" s="48" t="n"/>
      <x:c r="U62" s="49">
        <x:f>IF(AND(N62&lt;&gt;"Done",N62&lt;&gt;"Skipped",E62&lt;&gt;"",TODAY()&gt;E62),"Overdue","")</x:f>
      </x:c>
      <x:c r="V62" s="74" t="n"/>
      <x:c r="W62" s="47" t="n"/>
    </x:row>
    <x:row r="63" s="11" customFormat="1" ht="34" customHeight="1">
      <x:c r="A63" s="41" t="n">
        <x:v>60</x:v>
      </x:c>
      <x:c r="B63" s="41" t="n">
        <x:v>9</x:v>
      </x:c>
      <x:c r="C63" s="41" t="inlineStr">
        <x:is>
          <x:t xml:space="preserve">Thu</x:t>
        </x:is>
      </x:c>
      <x:c r="D63" s="41" t="inlineStr">
        <x:is>
          <x:t xml:space="preserve">Weekday</x:t>
        </x:is>
      </x:c>
      <x:c r="E63" s="64">
        <x:f>IF(Dashboard!$B$5="","",Dashboard!$B$5+A63-1)</x:f>
        <x:v>46184</x:v>
      </x:c>
      <x:c r="F63" s="41" t="n">
        <x:v>5</x:v>
      </x:c>
      <x:c r="G63" s="42" t="inlineStr">
        <x:is>
          <x:t xml:space="preserve">DP basics, async Java, Redis patterns, TypeScript basics, caching strategy</x:t>
        </x:is>
      </x:c>
      <x:c r="H63" s="43" t="inlineStr">
        <x:is>
          <x:t xml:space="preserve">Unique Paths</x:t>
        </x:is>
      </x:c>
      <x:c r="I63" s="43" t="inlineStr">
        <x:is>
          <x:t xml:space="preserve">Asynchronous event processor</x:t>
        </x:is>
      </x:c>
      <x:c r="J63" s="43" t="inlineStr">
        <x:is>
          <x:t xml:space="preserve">Benchmark cache impact</x:t>
        </x:is>
      </x:c>
      <x:c r="K63" s="43" t="inlineStr">
        <x:is>
          <x:t xml:space="preserve">Generics in TS</x:t>
        </x:is>
      </x:c>
      <x:c r="L63" s="42" t="inlineStr">
        <x:is>
          <x:t xml:space="preserve">Cache stampede / request coalescing</x:t>
        </x:is>
      </x:c>
      <x:c r="M63" s="42" t="inlineStr">
        <x:is>
          <x:t xml:space="preserve">Measure latency before/after cache</x:t>
        </x:is>
      </x:c>
      <x:c r="N63" s="44" t="inlineStr">
        <x:is>
          <x:t xml:space="preserve">Not Started</x:t>
        </x:is>
      </x:c>
      <x:c r="O63" s="45" t="n"/>
      <x:c r="P63" s="73">
        <x:f>IF(N63="Done",1,IF(N63="Review",0.75,IF(N63="In Progress",0.5,0)))</x:f>
        <x:v>0</x:v>
      </x:c>
      <x:c r="Q63" s="45" t="n"/>
      <x:c r="R63" s="47" t="n"/>
      <x:c r="S63" s="47" t="n"/>
      <x:c r="T63" s="48" t="n"/>
      <x:c r="U63" s="49">
        <x:f>IF(AND(N63&lt;&gt;"Done",N63&lt;&gt;"Skipped",E63&lt;&gt;"",TODAY()&gt;E63),"Overdue","")</x:f>
      </x:c>
      <x:c r="V63" s="74" t="n"/>
      <x:c r="W63" s="47" t="n"/>
    </x:row>
    <x:row r="64" s="11" customFormat="1" ht="34" customHeight="1">
      <x:c r="A64" s="41" t="n">
        <x:v>61</x:v>
      </x:c>
      <x:c r="B64" s="41" t="n">
        <x:v>9</x:v>
      </x:c>
      <x:c r="C64" s="41" t="inlineStr">
        <x:is>
          <x:t xml:space="preserve">Fri</x:t>
        </x:is>
      </x:c>
      <x:c r="D64" s="41" t="inlineStr">
        <x:is>
          <x:t xml:space="preserve">Weekday</x:t>
        </x:is>
      </x:c>
      <x:c r="E64" s="64">
        <x:f>IF(Dashboard!$B$5="","",Dashboard!$B$5+A64-1)</x:f>
        <x:v>46185</x:v>
      </x:c>
      <x:c r="F64" s="41" t="n">
        <x:v>5</x:v>
      </x:c>
      <x:c r="G64" s="42" t="inlineStr">
        <x:is>
          <x:t xml:space="preserve">DP basics, async Java, Redis patterns, TypeScript basics, caching strategy</x:t>
        </x:is>
      </x:c>
      <x:c r="H64" s="43" t="inlineStr">
        <x:is>
          <x:t xml:space="preserve">Coin Change</x:t>
        </x:is>
      </x:c>
      <x:c r="I64" s="43" t="inlineStr">
        <x:is>
          <x:t xml:space="preserve">Async error handling and cancellation</x:t>
        </x:is>
      </x:c>
      <x:c r="J64" s="43" t="inlineStr">
        <x:is>
          <x:t xml:space="preserve">CDN vs API cache recap</x:t>
        </x:is>
      </x:c>
      <x:c r="K64" s="43" t="inlineStr">
        <x:is>
          <x:t xml:space="preserve">Strict mode / tsconfig cleanup</x:t>
        </x:is>
      </x:c>
      <x:c r="L64" s="42" t="inlineStr">
        <x:is>
          <x:t xml:space="preserve">Choosing cache boundaries</x:t>
        </x:is>
      </x:c>
      <x:c r="M64" s="42" t="inlineStr">
        <x:is>
          <x:t xml:space="preserve">TS cleanup + notes</x:t>
        </x:is>
      </x:c>
      <x:c r="N64" s="44" t="inlineStr">
        <x:is>
          <x:t xml:space="preserve">Not Started</x:t>
        </x:is>
      </x:c>
      <x:c r="O64" s="45" t="n"/>
      <x:c r="P64" s="73">
        <x:f>IF(N64="Done",1,IF(N64="Review",0.75,IF(N64="In Progress",0.5,0)))</x:f>
        <x:v>0</x:v>
      </x:c>
      <x:c r="Q64" s="45" t="n"/>
      <x:c r="R64" s="47" t="n"/>
      <x:c r="S64" s="47" t="n"/>
      <x:c r="T64" s="48" t="n"/>
      <x:c r="U64" s="49">
        <x:f>IF(AND(N64&lt;&gt;"Done",N64&lt;&gt;"Skipped",E64&lt;&gt;"",TODAY()&gt;E64),"Overdue","")</x:f>
      </x:c>
      <x:c r="V64" s="74" t="n"/>
      <x:c r="W64" s="47" t="n"/>
    </x:row>
    <x:row r="65" s="11" customFormat="1" ht="34" customHeight="1">
      <x:c r="A65" s="41" t="n">
        <x:v>62</x:v>
      </x:c>
      <x:c r="B65" s="41" t="n">
        <x:v>9</x:v>
      </x:c>
      <x:c r="C65" s="41" t="inlineStr">
        <x:is>
          <x:t xml:space="preserve">Sat</x:t>
        </x:is>
      </x:c>
      <x:c r="D65" s="41" t="inlineStr">
        <x:is>
          <x:t xml:space="preserve">Weekend</x:t>
        </x:is>
      </x:c>
      <x:c r="E65" s="64">
        <x:f>IF(Dashboard!$B$5="","",Dashboard!$B$5+A65-1)</x:f>
        <x:v>46186</x:v>
      </x:c>
      <x:c r="F65" s="41" t="n">
        <x:v>8</x:v>
      </x:c>
      <x:c r="G65" s="42" t="inlineStr">
        <x:is>
          <x:t xml:space="preserve">DP basics, async Java, Redis patterns, TypeScript basics, caching strategy</x:t>
        </x:is>
      </x:c>
      <x:c r="H65" s="43" t="inlineStr">
        <x:is>
          <x:t xml:space="preserve">Weekend drill: 4 DP problems</x:t>
        </x:is>
      </x:c>
      <x:c r="I65" s="43" t="inlineStr">
        <x:is>
          <x:t xml:space="preserve">Async pipeline mini-project</x:t>
        </x:is>
      </x:c>
      <x:c r="J65" s="43" t="inlineStr">
        <x:is>
          <x:t xml:space="preserve">Redis with Spring + AWS review</x:t>
        </x:is>
      </x:c>
      <x:c r="K65" s="43" t="inlineStr">
        <x:is>
          <x:t xml:space="preserve">TS refactor day</x:t>
        </x:is>
      </x:c>
      <x:c r="L65" s="42" t="inlineStr">
        <x:is>
          <x:t xml:space="preserve">Cache design review</x:t>
        </x:is>
      </x:c>
      <x:c r="M65" s="42" t="inlineStr">
        <x:is>
          <x:t xml:space="preserve">Milestone: cache-backed async feature</x:t>
        </x:is>
      </x:c>
      <x:c r="N65" s="44" t="inlineStr">
        <x:is>
          <x:t xml:space="preserve">Not Started</x:t>
        </x:is>
      </x:c>
      <x:c r="O65" s="45" t="n"/>
      <x:c r="P65" s="73">
        <x:f>IF(N65="Done",1,IF(N65="Review",0.75,IF(N65="In Progress",0.5,0)))</x:f>
        <x:v>0</x:v>
      </x:c>
      <x:c r="Q65" s="45" t="n"/>
      <x:c r="R65" s="47" t="n"/>
      <x:c r="S65" s="47" t="n"/>
      <x:c r="T65" s="48" t="n"/>
      <x:c r="U65" s="49">
        <x:f>IF(AND(N65&lt;&gt;"Done",N65&lt;&gt;"Skipped",E65&lt;&gt;"",TODAY()&gt;E65),"Overdue","")</x:f>
      </x:c>
      <x:c r="V65" s="74" t="n"/>
      <x:c r="W65" s="47" t="n"/>
    </x:row>
    <x:row r="66" s="11" customFormat="1" ht="34" customHeight="1">
      <x:c r="A66" s="41" t="n">
        <x:v>63</x:v>
      </x:c>
      <x:c r="B66" s="41" t="n">
        <x:v>9</x:v>
      </x:c>
      <x:c r="C66" s="41" t="inlineStr">
        <x:is>
          <x:t xml:space="preserve">Sun</x:t>
        </x:is>
      </x:c>
      <x:c r="D66" s="41" t="inlineStr">
        <x:is>
          <x:t xml:space="preserve">Weekend</x:t>
        </x:is>
      </x:c>
      <x:c r="E66" s="64">
        <x:f>IF(Dashboard!$B$5="","",Dashboard!$B$5+A66-1)</x:f>
        <x:v>46187</x:v>
      </x:c>
      <x:c r="F66" s="41" t="n">
        <x:v>8</x:v>
      </x:c>
      <x:c r="G66" s="42" t="inlineStr">
        <x:is>
          <x:t xml:space="preserve">DP basics, async Java, Redis patterns, TypeScript basics, caching strategy</x:t>
        </x:is>
      </x:c>
      <x:c r="H66" s="43" t="inlineStr">
        <x:is>
          <x:t xml:space="preserve">Weekly review + timed set</x:t>
        </x:is>
      </x:c>
      <x:c r="I66" s="43" t="inlineStr">
        <x:is>
          <x:t xml:space="preserve">Async recap</x:t>
        </x:is>
      </x:c>
      <x:c r="J66" s="43" t="inlineStr">
        <x:is>
          <x:t xml:space="preserve">Cache recap</x:t>
        </x:is>
      </x:c>
      <x:c r="K66" s="43" t="inlineStr">
        <x:is>
          <x:t xml:space="preserve">TS recap</x:t>
        </x:is>
      </x:c>
      <x:c r="L66" s="42" t="inlineStr">
        <x:is>
          <x:t xml:space="preserve">Retrospective</x:t>
        </x:is>
      </x:c>
      <x:c r="M66" s="42" t="inlineStr">
        <x:is>
          <x:t xml:space="preserve">Update cheatsheets</x:t>
        </x:is>
      </x:c>
      <x:c r="N66" s="44" t="inlineStr">
        <x:is>
          <x:t xml:space="preserve">Not Started</x:t>
        </x:is>
      </x:c>
      <x:c r="O66" s="45" t="n"/>
      <x:c r="P66" s="73">
        <x:f>IF(N66="Done",1,IF(N66="Review",0.75,IF(N66="In Progress",0.5,0)))</x:f>
        <x:v>0</x:v>
      </x:c>
      <x:c r="Q66" s="45" t="n"/>
      <x:c r="R66" s="47" t="n"/>
      <x:c r="S66" s="47" t="n"/>
      <x:c r="T66" s="48" t="n"/>
      <x:c r="U66" s="49">
        <x:f>IF(AND(N66&lt;&gt;"Done",N66&lt;&gt;"Skipped",E66&lt;&gt;"",TODAY()&gt;E66),"Overdue","")</x:f>
      </x:c>
      <x:c r="V66" s="74" t="n"/>
      <x:c r="W66" s="47" t="n"/>
    </x:row>
    <x:row r="67" s="11" customFormat="1" ht="34" customHeight="1">
      <x:c r="A67" s="41" t="n">
        <x:v>64</x:v>
      </x:c>
      <x:c r="B67" s="41" t="n">
        <x:v>10</x:v>
      </x:c>
      <x:c r="C67" s="41" t="inlineStr">
        <x:is>
          <x:t xml:space="preserve">Mon</x:t>
        </x:is>
      </x:c>
      <x:c r="D67" s="41" t="inlineStr">
        <x:is>
          <x:t xml:space="preserve">Weekday</x:t>
        </x:is>
      </x:c>
      <x:c r="E67" s="64">
        <x:f>IF(Dashboard!$B$5="","",Dashboard!$B$5+A67-1)</x:f>
        <x:v>46188</x:v>
      </x:c>
      <x:c r="F67" s="41" t="n">
        <x:v>5</x:v>
      </x:c>
      <x:c r="G67" s="42" t="inlineStr">
        <x:is>
          <x:t xml:space="preserve">DP advanced, resilience, EKS concepts, design system, distributed transactions</x:t>
        </x:is>
      </x:c>
      <x:c r="H67" s="43" t="inlineStr">
        <x:is>
          <x:t xml:space="preserve">0/1 knapsack</x:t>
        </x:is>
      </x:c>
      <x:c r="I67" s="43" t="inlineStr">
        <x:is>
          <x:t xml:space="preserve">Circuit breaker tuning</x:t>
        </x:is>
      </x:c>
      <x:c r="J67" s="43" t="inlineStr">
        <x:is>
          <x:t xml:space="preserve">EKS concepts and trade-offs</x:t>
        </x:is>
      </x:c>
      <x:c r="K67" s="43" t="inlineStr">
        <x:is>
          <x:t xml:space="preserve">Design tokens</x:t>
        </x:is>
      </x:c>
      <x:c r="L67" s="42" t="inlineStr">
        <x:is>
          <x:t xml:space="preserve">Distributed transactions</x:t>
        </x:is>
      </x:c>
      <x:c r="M67" s="42" t="inlineStr">
        <x:is>
          <x:t xml:space="preserve">Kubernetes notes matrix</x:t>
        </x:is>
      </x:c>
      <x:c r="N67" s="44" t="inlineStr">
        <x:is>
          <x:t xml:space="preserve">Not Started</x:t>
        </x:is>
      </x:c>
      <x:c r="O67" s="45" t="n"/>
      <x:c r="P67" s="73">
        <x:f>IF(N67="Done",1,IF(N67="Review",0.75,IF(N67="In Progress",0.5,0)))</x:f>
        <x:v>0</x:v>
      </x:c>
      <x:c r="Q67" s="45" t="n"/>
      <x:c r="R67" s="47" t="n"/>
      <x:c r="S67" s="47" t="n"/>
      <x:c r="T67" s="48" t="n"/>
      <x:c r="U67" s="49">
        <x:f>IF(AND(N67&lt;&gt;"Done",N67&lt;&gt;"Skipped",E67&lt;&gt;"",TODAY()&gt;E67),"Overdue","")</x:f>
      </x:c>
      <x:c r="V67" s="74" t="n"/>
      <x:c r="W67" s="47" t="n"/>
    </x:row>
    <x:row r="68" s="11" customFormat="1" ht="34" customHeight="1">
      <x:c r="A68" s="41" t="n">
        <x:v>65</x:v>
      </x:c>
      <x:c r="B68" s="41" t="n">
        <x:v>10</x:v>
      </x:c>
      <x:c r="C68" s="41" t="inlineStr">
        <x:is>
          <x:t xml:space="preserve">Tue</x:t>
        </x:is>
      </x:c>
      <x:c r="D68" s="41" t="inlineStr">
        <x:is>
          <x:t xml:space="preserve">Weekday</x:t>
        </x:is>
      </x:c>
      <x:c r="E68" s="64">
        <x:f>IF(Dashboard!$B$5="","",Dashboard!$B$5+A68-1)</x:f>
        <x:v>46189</x:v>
      </x:c>
      <x:c r="F68" s="41" t="n">
        <x:v>5</x:v>
      </x:c>
      <x:c r="G68" s="42" t="inlineStr">
        <x:is>
          <x:t xml:space="preserve">DP advanced, resilience, EKS concepts, design system, distributed transactions</x:t>
        </x:is>
      </x:c>
      <x:c r="H68" s="43" t="inlineStr">
        <x:is>
          <x:t xml:space="preserve">LCS</x:t>
        </x:is>
      </x:c>
      <x:c r="I68" s="43" t="inlineStr">
        <x:is>
          <x:t xml:space="preserve">Retries, timeouts, fallbacks</x:t>
        </x:is>
      </x:c>
      <x:c r="J68" s="43" t="inlineStr">
        <x:is>
          <x:t xml:space="preserve">Kubernetes pods/services basics</x:t>
        </x:is>
      </x:c>
      <x:c r="K68" s="43" t="inlineStr">
        <x:is>
          <x:t xml:space="preserve">Compound components</x:t>
        </x:is>
      </x:c>
      <x:c r="L68" s="42" t="inlineStr">
        <x:is>
          <x:t xml:space="preserve">Saga choreography</x:t>
        </x:is>
      </x:c>
      <x:c r="M68" s="42" t="inlineStr">
        <x:is>
          <x:t xml:space="preserve">Retries/fallback patterns added</x:t>
        </x:is>
      </x:c>
      <x:c r="N68" s="44" t="inlineStr">
        <x:is>
          <x:t xml:space="preserve">Not Started</x:t>
        </x:is>
      </x:c>
      <x:c r="O68" s="45" t="n"/>
      <x:c r="P68" s="73">
        <x:f>IF(N68="Done",1,IF(N68="Review",0.75,IF(N68="In Progress",0.5,0)))</x:f>
        <x:v>0</x:v>
      </x:c>
      <x:c r="Q68" s="45" t="n"/>
      <x:c r="R68" s="47" t="n"/>
      <x:c r="S68" s="47" t="n"/>
      <x:c r="T68" s="48" t="n"/>
      <x:c r="U68" s="49">
        <x:f>IF(AND(N68&lt;&gt;"Done",N68&lt;&gt;"Skipped",E68&lt;&gt;"",TODAY()&gt;E68),"Overdue","")</x:f>
      </x:c>
      <x:c r="V68" s="74" t="n"/>
      <x:c r="W68" s="47" t="n"/>
    </x:row>
    <x:row r="69" s="11" customFormat="1" ht="34" customHeight="1">
      <x:c r="A69" s="41" t="n">
        <x:v>66</x:v>
      </x:c>
      <x:c r="B69" s="41" t="n">
        <x:v>10</x:v>
      </x:c>
      <x:c r="C69" s="41" t="inlineStr">
        <x:is>
          <x:t xml:space="preserve">Wed</x:t>
        </x:is>
      </x:c>
      <x:c r="D69" s="41" t="inlineStr">
        <x:is>
          <x:t xml:space="preserve">Weekday</x:t>
        </x:is>
      </x:c>
      <x:c r="E69" s="64">
        <x:f>IF(Dashboard!$B$5="","",Dashboard!$B$5+A69-1)</x:f>
        <x:v>46190</x:v>
      </x:c>
      <x:c r="F69" s="41" t="n">
        <x:v>5</x:v>
      </x:c>
      <x:c r="G69" s="42" t="inlineStr">
        <x:is>
          <x:t xml:space="preserve">DP advanced, resilience, EKS concepts, design system, distributed transactions</x:t>
        </x:is>
      </x:c>
      <x:c r="H69" s="43" t="inlineStr">
        <x:is>
          <x:t xml:space="preserve">Edit distance</x:t>
        </x:is>
      </x:c>
      <x:c r="I69" s="43" t="inlineStr">
        <x:is>
          <x:t xml:space="preserve">Bulkhead and rate limiting</x:t>
        </x:is>
      </x:c>
      <x:c r="J69" s="43" t="inlineStr">
        <x:is>
          <x:t xml:space="preserve">Ingress/config maps/secrets</x:t>
        </x:is>
      </x:c>
      <x:c r="K69" s="43" t="inlineStr">
        <x:is>
          <x:t xml:space="preserve">Custom hook library</x:t>
        </x:is>
      </x:c>
      <x:c r="L69" s="42" t="inlineStr">
        <x:is>
          <x:t xml:space="preserve">Saga orchestration</x:t>
        </x:is>
      </x:c>
      <x:c r="M69" s="42" t="inlineStr">
        <x:is>
          <x:t xml:space="preserve">Rate limiter notes</x:t>
        </x:is>
      </x:c>
      <x:c r="N69" s="44" t="inlineStr">
        <x:is>
          <x:t xml:space="preserve">Not Started</x:t>
        </x:is>
      </x:c>
      <x:c r="O69" s="45" t="n"/>
      <x:c r="P69" s="73">
        <x:f>IF(N69="Done",1,IF(N69="Review",0.75,IF(N69="In Progress",0.5,0)))</x:f>
        <x:v>0</x:v>
      </x:c>
      <x:c r="Q69" s="45" t="n"/>
      <x:c r="R69" s="47" t="n"/>
      <x:c r="S69" s="47" t="n"/>
      <x:c r="T69" s="48" t="n"/>
      <x:c r="U69" s="49">
        <x:f>IF(AND(N69&lt;&gt;"Done",N69&lt;&gt;"Skipped",E69&lt;&gt;"",TODAY()&gt;E69),"Overdue","")</x:f>
      </x:c>
      <x:c r="V69" s="74" t="n"/>
      <x:c r="W69" s="47" t="n"/>
    </x:row>
    <x:row r="70" s="11" customFormat="1" ht="34" customHeight="1">
      <x:c r="A70" s="41" t="n">
        <x:v>67</x:v>
      </x:c>
      <x:c r="B70" s="41" t="n">
        <x:v>10</x:v>
      </x:c>
      <x:c r="C70" s="41" t="inlineStr">
        <x:is>
          <x:t xml:space="preserve">Thu</x:t>
        </x:is>
      </x:c>
      <x:c r="D70" s="41" t="inlineStr">
        <x:is>
          <x:t xml:space="preserve">Weekday</x:t>
        </x:is>
      </x:c>
      <x:c r="E70" s="64">
        <x:f>IF(Dashboard!$B$5="","",Dashboard!$B$5+A70-1)</x:f>
        <x:v>46191</x:v>
      </x:c>
      <x:c r="F70" s="41" t="n">
        <x:v>5</x:v>
      </x:c>
      <x:c r="G70" s="42" t="inlineStr">
        <x:is>
          <x:t xml:space="preserve">DP advanced, resilience, EKS concepts, design system, distributed transactions</x:t>
        </x:is>
      </x:c>
      <x:c r="H70" s="43" t="inlineStr">
        <x:is>
          <x:t xml:space="preserve">DP on strings/grid</x:t>
        </x:is>
      </x:c>
      <x:c r="I70" s="43" t="inlineStr">
        <x:is>
          <x:t xml:space="preserve">Load testing basics and performance profiling</x:t>
        </x:is>
      </x:c>
      <x:c r="J70" s="43" t="inlineStr">
        <x:is>
          <x:t xml:space="preserve">ECS vs EKS decision</x:t>
        </x:is>
      </x:c>
      <x:c r="K70" s="43" t="inlineStr">
        <x:is>
          <x:t xml:space="preserve">Component docs / Storybook-style approach</x:t>
        </x:is>
      </x:c>
      <x:c r="L70" s="42" t="inlineStr">
        <x:is>
          <x:t xml:space="preserve">CQRS and event sourcing intro</x:t>
        </x:is>
      </x:c>
      <x:c r="M70" s="42" t="inlineStr">
        <x:is>
          <x:t xml:space="preserve">Decision memo for ECS vs EKS</x:t>
        </x:is>
      </x:c>
      <x:c r="N70" s="44" t="inlineStr">
        <x:is>
          <x:t xml:space="preserve">Not Started</x:t>
        </x:is>
      </x:c>
      <x:c r="O70" s="45" t="n"/>
      <x:c r="P70" s="73">
        <x:f>IF(N70="Done",1,IF(N70="Review",0.75,IF(N70="In Progress",0.5,0)))</x:f>
        <x:v>0</x:v>
      </x:c>
      <x:c r="Q70" s="45" t="n"/>
      <x:c r="R70" s="47" t="n"/>
      <x:c r="S70" s="47" t="n"/>
      <x:c r="T70" s="48" t="n"/>
      <x:c r="U70" s="49">
        <x:f>IF(AND(N70&lt;&gt;"Done",N70&lt;&gt;"Skipped",E70&lt;&gt;"",TODAY()&gt;E70),"Overdue","")</x:f>
      </x:c>
      <x:c r="V70" s="74" t="n"/>
      <x:c r="W70" s="47" t="n"/>
    </x:row>
    <x:row r="71" s="11" customFormat="1" ht="34" customHeight="1">
      <x:c r="A71" s="41" t="n">
        <x:v>68</x:v>
      </x:c>
      <x:c r="B71" s="41" t="n">
        <x:v>10</x:v>
      </x:c>
      <x:c r="C71" s="41" t="inlineStr">
        <x:is>
          <x:t xml:space="preserve">Fri</x:t>
        </x:is>
      </x:c>
      <x:c r="D71" s="41" t="inlineStr">
        <x:is>
          <x:t xml:space="preserve">Weekday</x:t>
        </x:is>
      </x:c>
      <x:c r="E71" s="64">
        <x:f>IF(Dashboard!$B$5="","",Dashboard!$B$5+A71-1)</x:f>
        <x:v>46192</x:v>
      </x:c>
      <x:c r="F71" s="41" t="n">
        <x:v>5</x:v>
      </x:c>
      <x:c r="G71" s="42" t="inlineStr">
        <x:is>
          <x:t xml:space="preserve">DP advanced, resilience, EKS concepts, design system, distributed transactions</x:t>
        </x:is>
      </x:c>
      <x:c r="H71" s="43" t="inlineStr">
        <x:is>
          <x:t xml:space="preserve">Greedy interval crossover</x:t>
        </x:is>
      </x:c>
      <x:c r="I71" s="43" t="inlineStr">
        <x:is>
          <x:t xml:space="preserve">Graceful degradation patterns</x:t>
        </x:is>
      </x:c>
      <x:c r="J71" s="43" t="inlineStr">
        <x:is>
          <x:t xml:space="preserve">Container orchestration recap</x:t>
        </x:is>
      </x:c>
      <x:c r="K71" s="43" t="inlineStr">
        <x:is>
          <x:t xml:space="preserve">Composition patterns</x:t>
        </x:is>
      </x:c>
      <x:c r="L71" s="42" t="inlineStr">
        <x:is>
          <x:t xml:space="preserve">Consistency trade-offs</x:t>
        </x:is>
      </x:c>
      <x:c r="M71" s="42" t="inlineStr">
        <x:is>
          <x:t xml:space="preserve">Document degradation strategy</x:t>
        </x:is>
      </x:c>
      <x:c r="N71" s="44" t="inlineStr">
        <x:is>
          <x:t xml:space="preserve">Not Started</x:t>
        </x:is>
      </x:c>
      <x:c r="O71" s="45" t="n"/>
      <x:c r="P71" s="73">
        <x:f>IF(N71="Done",1,IF(N71="Review",0.75,IF(N71="In Progress",0.5,0)))</x:f>
        <x:v>0</x:v>
      </x:c>
      <x:c r="Q71" s="45" t="n"/>
      <x:c r="R71" s="47" t="n"/>
      <x:c r="S71" s="47" t="n"/>
      <x:c r="T71" s="48" t="n"/>
      <x:c r="U71" s="49">
        <x:f>IF(AND(N71&lt;&gt;"Done",N71&lt;&gt;"Skipped",E71&lt;&gt;"",TODAY()&gt;E71),"Overdue","")</x:f>
      </x:c>
      <x:c r="V71" s="74" t="n"/>
      <x:c r="W71" s="47" t="n"/>
    </x:row>
    <x:row r="72" s="11" customFormat="1" ht="34" customHeight="1">
      <x:c r="A72" s="41" t="n">
        <x:v>69</x:v>
      </x:c>
      <x:c r="B72" s="41" t="n">
        <x:v>10</x:v>
      </x:c>
      <x:c r="C72" s="41" t="inlineStr">
        <x:is>
          <x:t xml:space="preserve">Sat</x:t>
        </x:is>
      </x:c>
      <x:c r="D72" s="41" t="inlineStr">
        <x:is>
          <x:t xml:space="preserve">Weekend</x:t>
        </x:is>
      </x:c>
      <x:c r="E72" s="64">
        <x:f>IF(Dashboard!$B$5="","",Dashboard!$B$5+A72-1)</x:f>
        <x:v>46193</x:v>
      </x:c>
      <x:c r="F72" s="41" t="n">
        <x:v>8</x:v>
      </x:c>
      <x:c r="G72" s="42" t="inlineStr">
        <x:is>
          <x:t xml:space="preserve">DP advanced, resilience, EKS concepts, design system, distributed transactions</x:t>
        </x:is>
      </x:c>
      <x:c r="H72" s="43" t="inlineStr">
        <x:is>
          <x:t xml:space="preserve">Weekend drill: advanced DP</x:t>
        </x:is>
      </x:c>
      <x:c r="I72" s="43" t="inlineStr">
        <x:is>
          <x:t xml:space="preserve">Resilience lab in Spring</x:t>
        </x:is>
      </x:c>
      <x:c r="J72" s="43" t="inlineStr">
        <x:is>
          <x:t xml:space="preserve">K8s walkthrough / compare with ECS</x:t>
        </x:is>
      </x:c>
      <x:c r="K72" s="43" t="inlineStr">
        <x:is>
          <x:t xml:space="preserve">Design system build</x:t>
        </x:is>
      </x:c>
      <x:c r="L72" s="42" t="inlineStr">
        <x:is>
          <x:t xml:space="preserve">Architecture review</x:t>
        </x:is>
      </x:c>
      <x:c r="M72" s="42" t="inlineStr">
        <x:is>
          <x:t xml:space="preserve">Milestone: resilient service patterns</x:t>
        </x:is>
      </x:c>
      <x:c r="N72" s="44" t="inlineStr">
        <x:is>
          <x:t xml:space="preserve">Not Started</x:t>
        </x:is>
      </x:c>
      <x:c r="O72" s="45" t="n"/>
      <x:c r="P72" s="73">
        <x:f>IF(N72="Done",1,IF(N72="Review",0.75,IF(N72="In Progress",0.5,0)))</x:f>
        <x:v>0</x:v>
      </x:c>
      <x:c r="Q72" s="45" t="n"/>
      <x:c r="R72" s="47" t="n"/>
      <x:c r="S72" s="47" t="n"/>
      <x:c r="T72" s="48" t="n"/>
      <x:c r="U72" s="49">
        <x:f>IF(AND(N72&lt;&gt;"Done",N72&lt;&gt;"Skipped",E72&lt;&gt;"",TODAY()&gt;E72),"Overdue","")</x:f>
      </x:c>
      <x:c r="V72" s="74" t="n"/>
      <x:c r="W72" s="47" t="n"/>
    </x:row>
    <x:row r="73" s="11" customFormat="1" ht="34" customHeight="1">
      <x:c r="A73" s="41" t="n">
        <x:v>70</x:v>
      </x:c>
      <x:c r="B73" s="41" t="n">
        <x:v>10</x:v>
      </x:c>
      <x:c r="C73" s="41" t="inlineStr">
        <x:is>
          <x:t xml:space="preserve">Sun</x:t>
        </x:is>
      </x:c>
      <x:c r="D73" s="41" t="inlineStr">
        <x:is>
          <x:t xml:space="preserve">Weekend</x:t>
        </x:is>
      </x:c>
      <x:c r="E73" s="64">
        <x:f>IF(Dashboard!$B$5="","",Dashboard!$B$5+A73-1)</x:f>
        <x:v>46194</x:v>
      </x:c>
      <x:c r="F73" s="41" t="n">
        <x:v>8</x:v>
      </x:c>
      <x:c r="G73" s="42" t="inlineStr">
        <x:is>
          <x:t xml:space="preserve">DP advanced, resilience, EKS concepts, design system, distributed transactions</x:t>
        </x:is>
      </x:c>
      <x:c r="H73" s="43" t="inlineStr">
        <x:is>
          <x:t xml:space="preserve">Weekly review + timed set</x:t>
        </x:is>
      </x:c>
      <x:c r="I73" s="43" t="inlineStr">
        <x:is>
          <x:t xml:space="preserve">Resilience recap</x:t>
        </x:is>
      </x:c>
      <x:c r="J73" s="43" t="inlineStr">
        <x:is>
          <x:t xml:space="preserve">Container recap</x:t>
        </x:is>
      </x:c>
      <x:c r="K73" s="43" t="inlineStr">
        <x:is>
          <x:t xml:space="preserve">Design-system recap</x:t>
        </x:is>
      </x:c>
      <x:c r="L73" s="42" t="inlineStr">
        <x:is>
          <x:t xml:space="preserve">Retrospective</x:t>
        </x:is>
      </x:c>
      <x:c r="M73" s="42" t="inlineStr">
        <x:is>
          <x:t xml:space="preserve">Update ADRs</x:t>
        </x:is>
      </x:c>
      <x:c r="N73" s="44" t="inlineStr">
        <x:is>
          <x:t xml:space="preserve">Not Started</x:t>
        </x:is>
      </x:c>
      <x:c r="O73" s="45" t="n"/>
      <x:c r="P73" s="73">
        <x:f>IF(N73="Done",1,IF(N73="Review",0.75,IF(N73="In Progress",0.5,0)))</x:f>
        <x:v>0</x:v>
      </x:c>
      <x:c r="Q73" s="45" t="n"/>
      <x:c r="R73" s="47" t="n"/>
      <x:c r="S73" s="47" t="n"/>
      <x:c r="T73" s="48" t="n"/>
      <x:c r="U73" s="49">
        <x:f>IF(AND(N73&lt;&gt;"Done",N73&lt;&gt;"Skipped",E73&lt;&gt;"",TODAY()&gt;E73),"Overdue","")</x:f>
      </x:c>
      <x:c r="V73" s="74" t="n"/>
      <x:c r="W73" s="47" t="n"/>
    </x:row>
    <x:row r="74" s="11" customFormat="1" ht="34" customHeight="1">
      <x:c r="A74" s="41" t="n">
        <x:v>71</x:v>
      </x:c>
      <x:c r="B74" s="41" t="n">
        <x:v>11</x:v>
      </x:c>
      <x:c r="C74" s="41" t="inlineStr">
        <x:is>
          <x:t xml:space="preserve">Mon</x:t>
        </x:is>
      </x:c>
      <x:c r="D74" s="41" t="inlineStr">
        <x:is>
          <x:t xml:space="preserve">Weekday</x:t>
        </x:is>
      </x:c>
      <x:c r="E74" s="64">
        <x:f>IF(Dashboard!$B$5="","",Dashboard!$B$5+A74-1)</x:f>
        <x:v>46195</x:v>
      </x:c>
      <x:c r="F74" s="41" t="n">
        <x:v>5</x:v>
      </x:c>
      <x:c r="G74" s="42" t="inlineStr">
        <x:is>
          <x:t xml:space="preserve">Greedy/intervals, architecture patterns in Java, cloud security, frontend architecture, threat modeling</x:t>
        </x:is>
      </x:c>
      <x:c r="H74" s="43" t="inlineStr">
        <x:is>
          <x:t xml:space="preserve">Jump Game</x:t>
        </x:is>
      </x:c>
      <x:c r="I74" s="43" t="inlineStr">
        <x:is>
          <x:t xml:space="preserve">Factory/strategy patterns refresher</x:t>
        </x:is>
      </x:c>
      <x:c r="J74" s="43" t="inlineStr">
        <x:is>
          <x:t xml:space="preserve">KMS encryption basics</x:t>
        </x:is>
      </x:c>
      <x:c r="K74" s="43" t="inlineStr">
        <x:is>
          <x:t xml:space="preserve">Frontend folder architecture</x:t>
        </x:is>
      </x:c>
      <x:c r="L74" s="42" t="inlineStr">
        <x:is>
          <x:t xml:space="preserve">Zero-trust and defense in depth</x:t>
        </x:is>
      </x:c>
      <x:c r="M74" s="42" t="inlineStr">
        <x:is>
          <x:t xml:space="preserve">Encrypt one secret / note encryption flows</x:t>
        </x:is>
      </x:c>
      <x:c r="N74" s="44" t="inlineStr">
        <x:is>
          <x:t xml:space="preserve">Not Started</x:t>
        </x:is>
      </x:c>
      <x:c r="O74" s="45" t="n"/>
      <x:c r="P74" s="73">
        <x:f>IF(N74="Done",1,IF(N74="Review",0.75,IF(N74="In Progress",0.5,0)))</x:f>
        <x:v>0</x:v>
      </x:c>
      <x:c r="Q74" s="45" t="n"/>
      <x:c r="R74" s="47" t="n"/>
      <x:c r="S74" s="47" t="n"/>
      <x:c r="T74" s="48" t="n"/>
      <x:c r="U74" s="49">
        <x:f>IF(AND(N74&lt;&gt;"Done",N74&lt;&gt;"Skipped",E74&lt;&gt;"",TODAY()&gt;E74),"Overdue","")</x:f>
      </x:c>
      <x:c r="V74" s="74" t="n"/>
      <x:c r="W74" s="47" t="n"/>
    </x:row>
    <x:row r="75" s="11" customFormat="1" ht="34" customHeight="1">
      <x:c r="A75" s="41" t="n">
        <x:v>72</x:v>
      </x:c>
      <x:c r="B75" s="41" t="n">
        <x:v>11</x:v>
      </x:c>
      <x:c r="C75" s="41" t="inlineStr">
        <x:is>
          <x:t xml:space="preserve">Tue</x:t>
        </x:is>
      </x:c>
      <x:c r="D75" s="41" t="inlineStr">
        <x:is>
          <x:t xml:space="preserve">Weekday</x:t>
        </x:is>
      </x:c>
      <x:c r="E75" s="64">
        <x:f>IF(Dashboard!$B$5="","",Dashboard!$B$5+A75-1)</x:f>
        <x:v>46196</x:v>
      </x:c>
      <x:c r="F75" s="41" t="n">
        <x:v>5</x:v>
      </x:c>
      <x:c r="G75" s="42" t="inlineStr">
        <x:is>
          <x:t xml:space="preserve">Greedy/intervals, architecture patterns in Java, cloud security, frontend architecture, threat modeling</x:t>
        </x:is>
      </x:c>
      <x:c r="H75" s="43" t="inlineStr">
        <x:is>
          <x:t xml:space="preserve">Meeting rooms / scheduling</x:t>
        </x:is>
      </x:c>
      <x:c r="I75" s="43" t="inlineStr">
        <x:is>
          <x:t xml:space="preserve">Immutability and value objects</x:t>
        </x:is>
      </x:c>
      <x:c r="J75" s="43" t="inlineStr">
        <x:is>
          <x:t xml:space="preserve">Secrets Manager / Parameter Store</x:t>
        </x:is>
      </x:c>
      <x:c r="K75" s="43" t="inlineStr">
        <x:is>
          <x:t xml:space="preserve">Route-level code splitting</x:t>
        </x:is>
      </x:c>
      <x:c r="L75" s="42" t="inlineStr">
        <x:is>
          <x:t xml:space="preserve">OWASP Top 10 overview</x:t>
        </x:is>
      </x:c>
      <x:c r="M75" s="42" t="inlineStr">
        <x:is>
          <x:t xml:space="preserve">Secret management checklist</x:t>
        </x:is>
      </x:c>
      <x:c r="N75" s="44" t="inlineStr">
        <x:is>
          <x:t xml:space="preserve">Not Started</x:t>
        </x:is>
      </x:c>
      <x:c r="O75" s="45" t="n"/>
      <x:c r="P75" s="73">
        <x:f>IF(N75="Done",1,IF(N75="Review",0.75,IF(N75="In Progress",0.5,0)))</x:f>
        <x:v>0</x:v>
      </x:c>
      <x:c r="Q75" s="45" t="n"/>
      <x:c r="R75" s="47" t="n"/>
      <x:c r="S75" s="47" t="n"/>
      <x:c r="T75" s="48" t="n"/>
      <x:c r="U75" s="49">
        <x:f>IF(AND(N75&lt;&gt;"Done",N75&lt;&gt;"Skipped",E75&lt;&gt;"",TODAY()&gt;E75),"Overdue","")</x:f>
      </x:c>
      <x:c r="V75" s="74" t="n"/>
      <x:c r="W75" s="47" t="n"/>
    </x:row>
    <x:row r="76" s="11" customFormat="1" ht="34" customHeight="1">
      <x:c r="A76" s="41" t="n">
        <x:v>73</x:v>
      </x:c>
      <x:c r="B76" s="41" t="n">
        <x:v>11</x:v>
      </x:c>
      <x:c r="C76" s="41" t="inlineStr">
        <x:is>
          <x:t xml:space="preserve">Wed</x:t>
        </x:is>
      </x:c>
      <x:c r="D76" s="41" t="inlineStr">
        <x:is>
          <x:t xml:space="preserve">Weekday</x:t>
        </x:is>
      </x:c>
      <x:c r="E76" s="64">
        <x:f>IF(Dashboard!$B$5="","",Dashboard!$B$5+A76-1)</x:f>
        <x:v>46197</x:v>
      </x:c>
      <x:c r="F76" s="41" t="n">
        <x:v>5</x:v>
      </x:c>
      <x:c r="G76" s="42" t="inlineStr">
        <x:is>
          <x:t xml:space="preserve">Greedy/intervals, architecture patterns in Java, cloud security, frontend architecture, threat modeling</x:t>
        </x:is>
      </x:c>
      <x:c r="H76" s="43" t="inlineStr">
        <x:is>
          <x:t xml:space="preserve">Merge intervals</x:t>
        </x:is>
      </x:c>
      <x:c r="I76" s="43" t="inlineStr">
        <x:is>
          <x:t xml:space="preserve">Clean architecture in Java</x:t>
        </x:is>
      </x:c>
      <x:c r="J76" s="43" t="inlineStr">
        <x:is>
          <x:t xml:space="preserve">Cognito / auth service concepts</x:t>
        </x:is>
      </x:c>
      <x:c r="K76" s="43" t="inlineStr">
        <x:is>
          <x:t xml:space="preserve">State at scale and query caching</x:t>
        </x:is>
      </x:c>
      <x:c r="L76" s="42" t="inlineStr">
        <x:is>
          <x:t xml:space="preserve">API security and token validation</x:t>
        </x:is>
      </x:c>
      <x:c r="M76" s="42" t="inlineStr">
        <x:is>
          <x:t xml:space="preserve">Threat model draft</x:t>
        </x:is>
      </x:c>
      <x:c r="N76" s="44" t="inlineStr">
        <x:is>
          <x:t xml:space="preserve">Not Started</x:t>
        </x:is>
      </x:c>
      <x:c r="O76" s="45" t="n"/>
      <x:c r="P76" s="73">
        <x:f>IF(N76="Done",1,IF(N76="Review",0.75,IF(N76="In Progress",0.5,0)))</x:f>
        <x:v>0</x:v>
      </x:c>
      <x:c r="Q76" s="45" t="n"/>
      <x:c r="R76" s="47" t="n"/>
      <x:c r="S76" s="47" t="n"/>
      <x:c r="T76" s="48" t="n"/>
      <x:c r="U76" s="49">
        <x:f>IF(AND(N76&lt;&gt;"Done",N76&lt;&gt;"Skipped",E76&lt;&gt;"",TODAY()&gt;E76),"Overdue","")</x:f>
      </x:c>
      <x:c r="V76" s="74" t="n"/>
      <x:c r="W76" s="47" t="n"/>
    </x:row>
    <x:row r="77" s="11" customFormat="1" ht="34" customHeight="1">
      <x:c r="A77" s="41" t="n">
        <x:v>74</x:v>
      </x:c>
      <x:c r="B77" s="41" t="n">
        <x:v>11</x:v>
      </x:c>
      <x:c r="C77" s="41" t="inlineStr">
        <x:is>
          <x:t xml:space="preserve">Thu</x:t>
        </x:is>
      </x:c>
      <x:c r="D77" s="41" t="inlineStr">
        <x:is>
          <x:t xml:space="preserve">Weekday</x:t>
        </x:is>
      </x:c>
      <x:c r="E77" s="64">
        <x:f>IF(Dashboard!$B$5="","",Dashboard!$B$5+A77-1)</x:f>
        <x:v>46198</x:v>
      </x:c>
      <x:c r="F77" s="41" t="n">
        <x:v>5</x:v>
      </x:c>
      <x:c r="G77" s="42" t="inlineStr">
        <x:is>
          <x:t xml:space="preserve">Greedy/intervals, architecture patterns in Java, cloud security, frontend architecture, threat modeling</x:t>
        </x:is>
      </x:c>
      <x:c r="H77" s="43" t="inlineStr">
        <x:is>
          <x:t xml:space="preserve">Non-overlapping intervals</x:t>
        </x:is>
      </x:c>
      <x:c r="I77" s="43" t="inlineStr">
        <x:is>
          <x:t xml:space="preserve">Hexagonal architecture</x:t>
        </x:is>
      </x:c>
      <x:c r="J77" s="43" t="inlineStr">
        <x:is>
          <x:t xml:space="preserve">WAF / Shield basics</x:t>
        </x:is>
      </x:c>
      <x:c r="K77" s="43" t="inlineStr">
        <x:is>
          <x:t xml:space="preserve">Error boundaries</x:t>
        </x:is>
      </x:c>
      <x:c r="L77" s="42" t="inlineStr">
        <x:is>
          <x:t xml:space="preserve">TLS, mTLS, private APIs</x:t>
        </x:is>
      </x:c>
      <x:c r="M77" s="42" t="inlineStr">
        <x:is>
          <x:t xml:space="preserve">Add error boundary</x:t>
        </x:is>
      </x:c>
      <x:c r="N77" s="44" t="inlineStr">
        <x:is>
          <x:t xml:space="preserve">Not Started</x:t>
        </x:is>
      </x:c>
      <x:c r="O77" s="45" t="n"/>
      <x:c r="P77" s="73">
        <x:f>IF(N77="Done",1,IF(N77="Review",0.75,IF(N77="In Progress",0.5,0)))</x:f>
        <x:v>0</x:v>
      </x:c>
      <x:c r="Q77" s="45" t="n"/>
      <x:c r="R77" s="47" t="n"/>
      <x:c r="S77" s="47" t="n"/>
      <x:c r="T77" s="48" t="n"/>
      <x:c r="U77" s="49">
        <x:f>IF(AND(N77&lt;&gt;"Done",N77&lt;&gt;"Skipped",E77&lt;&gt;"",TODAY()&gt;E77),"Overdue","")</x:f>
      </x:c>
      <x:c r="V77" s="74" t="n"/>
      <x:c r="W77" s="47" t="n"/>
    </x:row>
    <x:row r="78" s="11" customFormat="1" ht="34" customHeight="1">
      <x:c r="A78" s="41" t="n">
        <x:v>75</x:v>
      </x:c>
      <x:c r="B78" s="41" t="n">
        <x:v>11</x:v>
      </x:c>
      <x:c r="C78" s="41" t="inlineStr">
        <x:is>
          <x:t xml:space="preserve">Fri</x:t>
        </x:is>
      </x:c>
      <x:c r="D78" s="41" t="inlineStr">
        <x:is>
          <x:t xml:space="preserve">Weekday</x:t>
        </x:is>
      </x:c>
      <x:c r="E78" s="64">
        <x:f>IF(Dashboard!$B$5="","",Dashboard!$B$5+A78-1)</x:f>
        <x:v>46199</x:v>
      </x:c>
      <x:c r="F78" s="41" t="n">
        <x:v>5</x:v>
      </x:c>
      <x:c r="G78" s="42" t="inlineStr">
        <x:is>
          <x:t xml:space="preserve">Greedy/intervals, architecture patterns in Java, cloud security, frontend architecture, threat modeling</x:t>
        </x:is>
      </x:c>
      <x:c r="H78" s="43" t="inlineStr">
        <x:is>
          <x:t xml:space="preserve">Task scheduler / PQ greedy mix</x:t>
        </x:is>
      </x:c>
      <x:c r="I78" s="43" t="inlineStr">
        <x:is>
          <x:t xml:space="preserve">Module boundaries and modular monolith vs microservice</x:t>
        </x:is>
      </x:c>
      <x:c r="J78" s="43" t="inlineStr">
        <x:is>
          <x:t xml:space="preserve">Least-privilege IAM review</x:t>
        </x:is>
      </x:c>
      <x:c r="K78" s="43" t="inlineStr">
        <x:is>
          <x:t xml:space="preserve">Build optimization</x:t>
        </x:is>
      </x:c>
      <x:c r="L78" s="42" t="inlineStr">
        <x:is>
          <x:t xml:space="preserve">Threat modeling exercise</x:t>
        </x:is>
      </x:c>
      <x:c r="M78" s="42" t="inlineStr">
        <x:is>
          <x:t xml:space="preserve">IAM review complete</x:t>
        </x:is>
      </x:c>
      <x:c r="N78" s="44" t="inlineStr">
        <x:is>
          <x:t xml:space="preserve">Not Started</x:t>
        </x:is>
      </x:c>
      <x:c r="O78" s="45" t="n"/>
      <x:c r="P78" s="73">
        <x:f>IF(N78="Done",1,IF(N78="Review",0.75,IF(N78="In Progress",0.5,0)))</x:f>
        <x:v>0</x:v>
      </x:c>
      <x:c r="Q78" s="45" t="n"/>
      <x:c r="R78" s="47" t="n"/>
      <x:c r="S78" s="47" t="n"/>
      <x:c r="T78" s="48" t="n"/>
      <x:c r="U78" s="49">
        <x:f>IF(AND(N78&lt;&gt;"Done",N78&lt;&gt;"Skipped",E78&lt;&gt;"",TODAY()&gt;E78),"Overdue","")</x:f>
      </x:c>
      <x:c r="V78" s="74" t="n"/>
      <x:c r="W78" s="47" t="n"/>
    </x:row>
    <x:row r="79" s="11" customFormat="1" ht="34" customHeight="1">
      <x:c r="A79" s="41" t="n">
        <x:v>76</x:v>
      </x:c>
      <x:c r="B79" s="41" t="n">
        <x:v>11</x:v>
      </x:c>
      <x:c r="C79" s="41" t="inlineStr">
        <x:is>
          <x:t xml:space="preserve">Sat</x:t>
        </x:is>
      </x:c>
      <x:c r="D79" s="41" t="inlineStr">
        <x:is>
          <x:t xml:space="preserve">Weekend</x:t>
        </x:is>
      </x:c>
      <x:c r="E79" s="64">
        <x:f>IF(Dashboard!$B$5="","",Dashboard!$B$5+A79-1)</x:f>
        <x:v>46200</x:v>
      </x:c>
      <x:c r="F79" s="41" t="n">
        <x:v>8</x:v>
      </x:c>
      <x:c r="G79" s="42" t="inlineStr">
        <x:is>
          <x:t xml:space="preserve">Greedy/intervals, architecture patterns in Java, cloud security, frontend architecture, threat modeling</x:t>
        </x:is>
      </x:c>
      <x:c r="H79" s="43" t="inlineStr">
        <x:is>
          <x:t xml:space="preserve">Weekend drill: greedy/intervals</x:t>
        </x:is>
      </x:c>
      <x:c r="I79" s="43" t="inlineStr">
        <x:is>
          <x:t xml:space="preserve">Refactor service with architecture pattern</x:t>
        </x:is>
      </x:c>
      <x:c r="J79" s="43" t="inlineStr">
        <x:is>
          <x:t xml:space="preserve">Security hardening lab</x:t>
        </x:is>
      </x:c>
      <x:c r="K79" s="43" t="inlineStr">
        <x:is>
          <x:t xml:space="preserve">Frontend architecture refactor</x:t>
        </x:is>
      </x:c>
      <x:c r="L79" s="42" t="inlineStr">
        <x:is>
          <x:t xml:space="preserve">Security review</x:t>
        </x:is>
      </x:c>
      <x:c r="M79" s="42" t="inlineStr">
        <x:is>
          <x:t xml:space="preserve">Milestone: security baseline</x:t>
        </x:is>
      </x:c>
      <x:c r="N79" s="44" t="inlineStr">
        <x:is>
          <x:t xml:space="preserve">Not Started</x:t>
        </x:is>
      </x:c>
      <x:c r="O79" s="45" t="n"/>
      <x:c r="P79" s="73">
        <x:f>IF(N79="Done",1,IF(N79="Review",0.75,IF(N79="In Progress",0.5,0)))</x:f>
        <x:v>0</x:v>
      </x:c>
      <x:c r="Q79" s="45" t="n"/>
      <x:c r="R79" s="47" t="n"/>
      <x:c r="S79" s="47" t="n"/>
      <x:c r="T79" s="48" t="n"/>
      <x:c r="U79" s="49">
        <x:f>IF(AND(N79&lt;&gt;"Done",N79&lt;&gt;"Skipped",E79&lt;&gt;"",TODAY()&gt;E79),"Overdue","")</x:f>
      </x:c>
      <x:c r="V79" s="74" t="n"/>
      <x:c r="W79" s="47" t="n"/>
    </x:row>
    <x:row r="80" s="11" customFormat="1" ht="34" customHeight="1">
      <x:c r="A80" s="41" t="n">
        <x:v>77</x:v>
      </x:c>
      <x:c r="B80" s="41" t="n">
        <x:v>11</x:v>
      </x:c>
      <x:c r="C80" s="41" t="inlineStr">
        <x:is>
          <x:t xml:space="preserve">Sun</x:t>
        </x:is>
      </x:c>
      <x:c r="D80" s="41" t="inlineStr">
        <x:is>
          <x:t xml:space="preserve">Weekend</x:t>
        </x:is>
      </x:c>
      <x:c r="E80" s="64">
        <x:f>IF(Dashboard!$B$5="","",Dashboard!$B$5+A80-1)</x:f>
        <x:v>46201</x:v>
      </x:c>
      <x:c r="F80" s="41" t="n">
        <x:v>8</x:v>
      </x:c>
      <x:c r="G80" s="42" t="inlineStr">
        <x:is>
          <x:t xml:space="preserve">Greedy/intervals, architecture patterns in Java, cloud security, frontend architecture, threat modeling</x:t>
        </x:is>
      </x:c>
      <x:c r="H80" s="43" t="inlineStr">
        <x:is>
          <x:t xml:space="preserve">Weekly review + timed set</x:t>
        </x:is>
      </x:c>
      <x:c r="I80" s="43" t="inlineStr">
        <x:is>
          <x:t xml:space="preserve">Pattern recap</x:t>
        </x:is>
      </x:c>
      <x:c r="J80" s="43" t="inlineStr">
        <x:is>
          <x:t xml:space="preserve">Security recap</x:t>
        </x:is>
      </x:c>
      <x:c r="K80" s="43" t="inlineStr">
        <x:is>
          <x:t xml:space="preserve">React architecture recap</x:t>
        </x:is>
      </x:c>
      <x:c r="L80" s="42" t="inlineStr">
        <x:is>
          <x:t xml:space="preserve">Retrospective</x:t>
        </x:is>
      </x:c>
      <x:c r="M80" s="42" t="inlineStr">
        <x:is>
          <x:t xml:space="preserve">Update security checklist</x:t>
        </x:is>
      </x:c>
      <x:c r="N80" s="44" t="inlineStr">
        <x:is>
          <x:t xml:space="preserve">Not Started</x:t>
        </x:is>
      </x:c>
      <x:c r="O80" s="45" t="n"/>
      <x:c r="P80" s="73">
        <x:f>IF(N80="Done",1,IF(N80="Review",0.75,IF(N80="In Progress",0.5,0)))</x:f>
        <x:v>0</x:v>
      </x:c>
      <x:c r="Q80" s="45" t="n"/>
      <x:c r="R80" s="47" t="n"/>
      <x:c r="S80" s="47" t="n"/>
      <x:c r="T80" s="48" t="n"/>
      <x:c r="U80" s="49">
        <x:f>IF(AND(N80&lt;&gt;"Done",N80&lt;&gt;"Skipped",E80&lt;&gt;"",TODAY()&gt;E80),"Overdue","")</x:f>
      </x:c>
      <x:c r="V80" s="74" t="n"/>
      <x:c r="W80" s="47" t="n"/>
    </x:row>
    <x:row r="81" s="11" customFormat="1" ht="34" customHeight="1">
      <x:c r="A81" s="41" t="n">
        <x:v>78</x:v>
      </x:c>
      <x:c r="B81" s="41" t="n">
        <x:v>12</x:v>
      </x:c>
      <x:c r="C81" s="41" t="inlineStr">
        <x:is>
          <x:t xml:space="preserve">Mon</x:t>
        </x:is>
      </x:c>
      <x:c r="D81" s="41" t="inlineStr">
        <x:is>
          <x:t xml:space="preserve">Weekday</x:t>
        </x:is>
      </x:c>
      <x:c r="E81" s="64">
        <x:f>IF(Dashboard!$B$5="","",Dashboard!$B$5+A81-1)</x:f>
        <x:v>46202</x:v>
      </x:c>
      <x:c r="F81" s="41" t="n">
        <x:v>5</x:v>
      </x:c>
      <x:c r="G81" s="42" t="inlineStr">
        <x:is>
          <x:t xml:space="preserve">Backtracking/bit/math, CI/CD, IaC, build tooling, DevSecOps</x:t>
        </x:is>
      </x:c>
      <x:c r="H81" s="43" t="inlineStr">
        <x:is>
          <x:t xml:space="preserve">Subsets</x:t>
        </x:is>
      </x:c>
      <x:c r="I81" s="43" t="inlineStr">
        <x:is>
          <x:t xml:space="preserve">Maven lifecycle and plugins</x:t>
        </x:is>
      </x:c>
      <x:c r="J81" s="43" t="inlineStr">
        <x:is>
          <x:t xml:space="preserve">CodeBuild / CodePipeline overview</x:t>
        </x:is>
      </x:c>
      <x:c r="K81" s="43" t="inlineStr">
        <x:is>
          <x:t xml:space="preserve">Vite build pipeline</x:t>
        </x:is>
      </x:c>
      <x:c r="L81" s="42" t="inlineStr">
        <x:is>
          <x:t xml:space="preserve">CI/CD principles</x:t>
        </x:is>
      </x:c>
      <x:c r="M81" s="42" t="inlineStr">
        <x:is>
          <x:t xml:space="preserve">Pipeline plan drafted</x:t>
        </x:is>
      </x:c>
      <x:c r="N81" s="44" t="inlineStr">
        <x:is>
          <x:t xml:space="preserve">Not Started</x:t>
        </x:is>
      </x:c>
      <x:c r="O81" s="45" t="n"/>
      <x:c r="P81" s="73">
        <x:f>IF(N81="Done",1,IF(N81="Review",0.75,IF(N81="In Progress",0.5,0)))</x:f>
        <x:v>0</x:v>
      </x:c>
      <x:c r="Q81" s="45" t="n"/>
      <x:c r="R81" s="47" t="n"/>
      <x:c r="S81" s="47" t="n"/>
      <x:c r="T81" s="48" t="n"/>
      <x:c r="U81" s="49">
        <x:f>IF(AND(N81&lt;&gt;"Done",N81&lt;&gt;"Skipped",E81&lt;&gt;"",TODAY()&gt;E81),"Overdue","")</x:f>
      </x:c>
      <x:c r="V81" s="74" t="n"/>
      <x:c r="W81" s="47" t="n"/>
    </x:row>
    <x:row r="82" s="11" customFormat="1" ht="34" customHeight="1">
      <x:c r="A82" s="41" t="n">
        <x:v>79</x:v>
      </x:c>
      <x:c r="B82" s="41" t="n">
        <x:v>12</x:v>
      </x:c>
      <x:c r="C82" s="41" t="inlineStr">
        <x:is>
          <x:t xml:space="preserve">Tue</x:t>
        </x:is>
      </x:c>
      <x:c r="D82" s="41" t="inlineStr">
        <x:is>
          <x:t xml:space="preserve">Weekday</x:t>
        </x:is>
      </x:c>
      <x:c r="E82" s="64">
        <x:f>IF(Dashboard!$B$5="","",Dashboard!$B$5+A82-1)</x:f>
        <x:v>46203</x:v>
      </x:c>
      <x:c r="F82" s="41" t="n">
        <x:v>5</x:v>
      </x:c>
      <x:c r="G82" s="42" t="inlineStr">
        <x:is>
          <x:t xml:space="preserve">Backtracking/bit/math, CI/CD, IaC, build tooling, DevSecOps</x:t>
        </x:is>
      </x:c>
      <x:c r="H82" s="43" t="inlineStr">
        <x:is>
          <x:t xml:space="preserve">Permutations</x:t>
        </x:is>
      </x:c>
      <x:c r="I82" s="43" t="inlineStr">
        <x:is>
          <x:t xml:space="preserve">GitHub Actions or Jenkins basics</x:t>
        </x:is>
      </x:c>
      <x:c r="J82" s="43" t="inlineStr">
        <x:is>
          <x:t xml:space="preserve">Pipeline for Java app</x:t>
        </x:is>
      </x:c>
      <x:c r="K82" s="43" t="inlineStr">
        <x:is>
          <x:t xml:space="preserve">Lint / format / pre-commit hooks</x:t>
        </x:is>
      </x:c>
      <x:c r="L82" s="42" t="inlineStr">
        <x:is>
          <x:t xml:space="preserve">Artifact promotion</x:t>
        </x:is>
      </x:c>
      <x:c r="M82" s="42" t="inlineStr">
        <x:is>
          <x:t xml:space="preserve">Backend CI working</x:t>
        </x:is>
      </x:c>
      <x:c r="N82" s="44" t="inlineStr">
        <x:is>
          <x:t xml:space="preserve">Not Started</x:t>
        </x:is>
      </x:c>
      <x:c r="O82" s="45" t="n"/>
      <x:c r="P82" s="73">
        <x:f>IF(N82="Done",1,IF(N82="Review",0.75,IF(N82="In Progress",0.5,0)))</x:f>
        <x:v>0</x:v>
      </x:c>
      <x:c r="Q82" s="45" t="n"/>
      <x:c r="R82" s="47" t="n"/>
      <x:c r="S82" s="47" t="n"/>
      <x:c r="T82" s="48" t="n"/>
      <x:c r="U82" s="49">
        <x:f>IF(AND(N82&lt;&gt;"Done",N82&lt;&gt;"Skipped",E82&lt;&gt;"",TODAY()&gt;E82),"Overdue","")</x:f>
      </x:c>
      <x:c r="V82" s="74" t="n"/>
      <x:c r="W82" s="47" t="n"/>
    </x:row>
    <x:row r="83" s="11" customFormat="1" ht="34" customHeight="1">
      <x:c r="A83" s="41" t="n">
        <x:v>80</x:v>
      </x:c>
      <x:c r="B83" s="41" t="n">
        <x:v>12</x:v>
      </x:c>
      <x:c r="C83" s="41" t="inlineStr">
        <x:is>
          <x:t xml:space="preserve">Wed</x:t>
        </x:is>
      </x:c>
      <x:c r="D83" s="41" t="inlineStr">
        <x:is>
          <x:t xml:space="preserve">Weekday</x:t>
        </x:is>
      </x:c>
      <x:c r="E83" s="64">
        <x:f>IF(Dashboard!$B$5="","",Dashboard!$B$5+A83-1)</x:f>
        <x:v>46204</x:v>
      </x:c>
      <x:c r="F83" s="41" t="n">
        <x:v>5</x:v>
      </x:c>
      <x:c r="G83" s="42" t="inlineStr">
        <x:is>
          <x:t xml:space="preserve">Backtracking/bit/math, CI/CD, IaC, build tooling, DevSecOps</x:t>
        </x:is>
      </x:c>
      <x:c r="H83" s="43" t="inlineStr">
        <x:is>
          <x:t xml:space="preserve">Combination Sum</x:t>
        </x:is>
      </x:c>
      <x:c r="I83" s="43" t="inlineStr">
        <x:is>
          <x:t xml:space="preserve">Testing strategy and coverage</x:t>
        </x:is>
      </x:c>
      <x:c r="J83" s="43" t="inlineStr">
        <x:is>
          <x:t xml:space="preserve">CloudFormation basics</x:t>
        </x:is>
      </x:c>
      <x:c r="K83" s="43" t="inlineStr">
        <x:is>
          <x:t xml:space="preserve">Environment config patterns</x:t>
        </x:is>
      </x:c>
      <x:c r="L83" s="42" t="inlineStr">
        <x:is>
          <x:t xml:space="preserve">Branch strategy and release flow</x:t>
        </x:is>
      </x:c>
      <x:c r="M83" s="42" t="inlineStr">
        <x:is>
          <x:t xml:space="preserve">Infra template created</x:t>
        </x:is>
      </x:c>
      <x:c r="N83" s="44" t="inlineStr">
        <x:is>
          <x:t xml:space="preserve">Not Started</x:t>
        </x:is>
      </x:c>
      <x:c r="O83" s="45" t="n"/>
      <x:c r="P83" s="73">
        <x:f>IF(N83="Done",1,IF(N83="Review",0.75,IF(N83="In Progress",0.5,0)))</x:f>
        <x:v>0</x:v>
      </x:c>
      <x:c r="Q83" s="45" t="n"/>
      <x:c r="R83" s="47" t="n"/>
      <x:c r="S83" s="47" t="n"/>
      <x:c r="T83" s="48" t="n"/>
      <x:c r="U83" s="49">
        <x:f>IF(AND(N83&lt;&gt;"Done",N83&lt;&gt;"Skipped",E83&lt;&gt;"",TODAY()&gt;E83),"Overdue","")</x:f>
      </x:c>
      <x:c r="V83" s="74" t="n"/>
      <x:c r="W83" s="47" t="n"/>
    </x:row>
    <x:row r="84" s="11" customFormat="1" ht="34" customHeight="1">
      <x:c r="A84" s="41" t="n">
        <x:v>81</x:v>
      </x:c>
      <x:c r="B84" s="41" t="n">
        <x:v>12</x:v>
      </x:c>
      <x:c r="C84" s="41" t="inlineStr">
        <x:is>
          <x:t xml:space="preserve">Thu</x:t>
        </x:is>
      </x:c>
      <x:c r="D84" s="41" t="inlineStr">
        <x:is>
          <x:t xml:space="preserve">Weekday</x:t>
        </x:is>
      </x:c>
      <x:c r="E84" s="64">
        <x:f>IF(Dashboard!$B$5="","",Dashboard!$B$5+A84-1)</x:f>
        <x:v>46205</x:v>
      </x:c>
      <x:c r="F84" s="41" t="n">
        <x:v>5</x:v>
      </x:c>
      <x:c r="G84" s="42" t="inlineStr">
        <x:is>
          <x:t xml:space="preserve">Backtracking/bit/math, CI/CD, IaC, build tooling, DevSecOps</x:t>
        </x:is>
      </x:c>
      <x:c r="H84" s="43" t="inlineStr">
        <x:is>
          <x:t xml:space="preserve">N-Queens / Word Search</x:t>
        </x:is>
      </x:c>
      <x:c r="I84" s="43" t="inlineStr">
        <x:is>
          <x:t xml:space="preserve">Jacoco / Sonar basics</x:t>
        </x:is>
      </x:c>
      <x:c r="J84" s="43" t="inlineStr">
        <x:is>
          <x:t xml:space="preserve">Terraform basics and modules</x:t>
        </x:is>
      </x:c>
      <x:c r="K84" s="43" t="inlineStr">
        <x:is>
          <x:t xml:space="preserve">Bundle analysis</x:t>
        </x:is>
      </x:c>
      <x:c r="L84" s="42" t="inlineStr">
        <x:is>
          <x:t xml:space="preserve">Secret scanning and supply-chain basics</x:t>
        </x:is>
      </x:c>
      <x:c r="M84" s="42" t="inlineStr">
        <x:is>
          <x:t xml:space="preserve">Frontend CI and quality checks</x:t>
        </x:is>
      </x:c>
      <x:c r="N84" s="44" t="inlineStr">
        <x:is>
          <x:t xml:space="preserve">Not Started</x:t>
        </x:is>
      </x:c>
      <x:c r="O84" s="45" t="n"/>
      <x:c r="P84" s="73">
        <x:f>IF(N84="Done",1,IF(N84="Review",0.75,IF(N84="In Progress",0.5,0)))</x:f>
        <x:v>0</x:v>
      </x:c>
      <x:c r="Q84" s="45" t="n"/>
      <x:c r="R84" s="47" t="n"/>
      <x:c r="S84" s="47" t="n"/>
      <x:c r="T84" s="48" t="n"/>
      <x:c r="U84" s="49">
        <x:f>IF(AND(N84&lt;&gt;"Done",N84&lt;&gt;"Skipped",E84&lt;&gt;"",TODAY()&gt;E84),"Overdue","")</x:f>
      </x:c>
      <x:c r="V84" s="74" t="n"/>
      <x:c r="W84" s="47" t="n"/>
    </x:row>
    <x:row r="85" s="11" customFormat="1" ht="34" customHeight="1">
      <x:c r="A85" s="41" t="n">
        <x:v>82</x:v>
      </x:c>
      <x:c r="B85" s="41" t="n">
        <x:v>12</x:v>
      </x:c>
      <x:c r="C85" s="41" t="inlineStr">
        <x:is>
          <x:t xml:space="preserve">Fri</x:t>
        </x:is>
      </x:c>
      <x:c r="D85" s="41" t="inlineStr">
        <x:is>
          <x:t xml:space="preserve">Weekday</x:t>
        </x:is>
      </x:c>
      <x:c r="E85" s="64">
        <x:f>IF(Dashboard!$B$5="","",Dashboard!$B$5+A85-1)</x:f>
        <x:v>46206</x:v>
      </x:c>
      <x:c r="F85" s="41" t="n">
        <x:v>5</x:v>
      </x:c>
      <x:c r="G85" s="42" t="inlineStr">
        <x:is>
          <x:t xml:space="preserve">Backtracking/bit/math, CI/CD, IaC, build tooling, DevSecOps</x:t>
        </x:is>
      </x:c>
      <x:c r="H85" s="43" t="inlineStr">
        <x:is>
          <x:t xml:space="preserve">Bit manipulation intro</x:t>
        </x:is>
      </x:c>
      <x:c r="I85" s="43" t="inlineStr">
        <x:is>
          <x:t xml:space="preserve">Versioning and release management</x:t>
        </x:is>
      </x:c>
      <x:c r="J85" s="43" t="inlineStr">
        <x:is>
          <x:t xml:space="preserve">IaC state, drift, plan/apply</x:t>
        </x:is>
      </x:c>
      <x:c r="K85" s="43" t="inlineStr">
        <x:is>
          <x:t xml:space="preserve">Source maps and frontend monitoring</x:t>
        </x:is>
      </x:c>
      <x:c r="L85" s="42" t="inlineStr">
        <x:is>
          <x:t xml:space="preserve">DevSecOps checklist</x:t>
        </x:is>
      </x:c>
      <x:c r="M85" s="42" t="inlineStr">
        <x:is>
          <x:t xml:space="preserve">IaC review complete</x:t>
        </x:is>
      </x:c>
      <x:c r="N85" s="44" t="inlineStr">
        <x:is>
          <x:t xml:space="preserve">Not Started</x:t>
        </x:is>
      </x:c>
      <x:c r="O85" s="45" t="n"/>
      <x:c r="P85" s="73">
        <x:f>IF(N85="Done",1,IF(N85="Review",0.75,IF(N85="In Progress",0.5,0)))</x:f>
        <x:v>0</x:v>
      </x:c>
      <x:c r="Q85" s="45" t="n"/>
      <x:c r="R85" s="47" t="n"/>
      <x:c r="S85" s="47" t="n"/>
      <x:c r="T85" s="48" t="n"/>
      <x:c r="U85" s="49">
        <x:f>IF(AND(N85&lt;&gt;"Done",N85&lt;&gt;"Skipped",E85&lt;&gt;"",TODAY()&gt;E85),"Overdue","")</x:f>
      </x:c>
      <x:c r="V85" s="74" t="n"/>
      <x:c r="W85" s="47" t="n"/>
    </x:row>
    <x:row r="86" s="11" customFormat="1" ht="34" customHeight="1">
      <x:c r="A86" s="41" t="n">
        <x:v>83</x:v>
      </x:c>
      <x:c r="B86" s="41" t="n">
        <x:v>12</x:v>
      </x:c>
      <x:c r="C86" s="41" t="inlineStr">
        <x:is>
          <x:t xml:space="preserve">Sat</x:t>
        </x:is>
      </x:c>
      <x:c r="D86" s="41" t="inlineStr">
        <x:is>
          <x:t xml:space="preserve">Weekend</x:t>
        </x:is>
      </x:c>
      <x:c r="E86" s="64">
        <x:f>IF(Dashboard!$B$5="","",Dashboard!$B$5+A86-1)</x:f>
        <x:v>46207</x:v>
      </x:c>
      <x:c r="F86" s="41" t="n">
        <x:v>8</x:v>
      </x:c>
      <x:c r="G86" s="42" t="inlineStr">
        <x:is>
          <x:t xml:space="preserve">Backtracking/bit/math, CI/CD, IaC, build tooling, DevSecOps</x:t>
        </x:is>
      </x:c>
      <x:c r="H86" s="43" t="inlineStr">
        <x:is>
          <x:t xml:space="preserve">Weekend drill: backtracking/bit</x:t>
        </x:is>
      </x:c>
      <x:c r="I86" s="43" t="inlineStr">
        <x:is>
          <x:t xml:space="preserve">Set up CI for backend</x:t>
        </x:is>
      </x:c>
      <x:c r="J86" s="43" t="inlineStr">
        <x:is>
          <x:t xml:space="preserve">IaC lab</x:t>
        </x:is>
      </x:c>
      <x:c r="K86" s="43" t="inlineStr">
        <x:is>
          <x:t xml:space="preserve">Frontend CI</x:t>
        </x:is>
      </x:c>
      <x:c r="L86" s="42" t="inlineStr">
        <x:is>
          <x:t xml:space="preserve">Pipeline review</x:t>
        </x:is>
      </x:c>
      <x:c r="M86" s="42" t="inlineStr">
        <x:is>
          <x:t xml:space="preserve">Milestone: automated build pipeline</x:t>
        </x:is>
      </x:c>
      <x:c r="N86" s="44" t="inlineStr">
        <x:is>
          <x:t xml:space="preserve">Not Started</x:t>
        </x:is>
      </x:c>
      <x:c r="O86" s="45" t="n"/>
      <x:c r="P86" s="73">
        <x:f>IF(N86="Done",1,IF(N86="Review",0.75,IF(N86="In Progress",0.5,0)))</x:f>
        <x:v>0</x:v>
      </x:c>
      <x:c r="Q86" s="45" t="n"/>
      <x:c r="R86" s="47" t="n"/>
      <x:c r="S86" s="47" t="n"/>
      <x:c r="T86" s="48" t="n"/>
      <x:c r="U86" s="49">
        <x:f>IF(AND(N86&lt;&gt;"Done",N86&lt;&gt;"Skipped",E86&lt;&gt;"",TODAY()&gt;E86),"Overdue","")</x:f>
      </x:c>
      <x:c r="V86" s="74" t="n"/>
      <x:c r="W86" s="47" t="n"/>
    </x:row>
    <x:row r="87" s="11" customFormat="1" ht="34" customHeight="1">
      <x:c r="A87" s="41" t="n">
        <x:v>84</x:v>
      </x:c>
      <x:c r="B87" s="41" t="n">
        <x:v>12</x:v>
      </x:c>
      <x:c r="C87" s="41" t="inlineStr">
        <x:is>
          <x:t xml:space="preserve">Sun</x:t>
        </x:is>
      </x:c>
      <x:c r="D87" s="41" t="inlineStr">
        <x:is>
          <x:t xml:space="preserve">Weekend</x:t>
        </x:is>
      </x:c>
      <x:c r="E87" s="64">
        <x:f>IF(Dashboard!$B$5="","",Dashboard!$B$5+A87-1)</x:f>
        <x:v>46208</x:v>
      </x:c>
      <x:c r="F87" s="41" t="n">
        <x:v>8</x:v>
      </x:c>
      <x:c r="G87" s="42" t="inlineStr">
        <x:is>
          <x:t xml:space="preserve">Backtracking/bit/math, CI/CD, IaC, build tooling, DevSecOps</x:t>
        </x:is>
      </x:c>
      <x:c r="H87" s="43" t="inlineStr">
        <x:is>
          <x:t xml:space="preserve">Weekly review + timed set</x:t>
        </x:is>
      </x:c>
      <x:c r="I87" s="43" t="inlineStr">
        <x:is>
          <x:t xml:space="preserve">Build-tool recap</x:t>
        </x:is>
      </x:c>
      <x:c r="J87" s="43" t="inlineStr">
        <x:is>
          <x:t xml:space="preserve">IaC recap</x:t>
        </x:is>
      </x:c>
      <x:c r="K87" s="43" t="inlineStr">
        <x:is>
          <x:t xml:space="preserve">Frontend-tooling recap</x:t>
        </x:is>
      </x:c>
      <x:c r="L87" s="42" t="inlineStr">
        <x:is>
          <x:t xml:space="preserve">Retrospective</x:t>
        </x:is>
      </x:c>
      <x:c r="M87" s="42" t="inlineStr">
        <x:is>
          <x:t xml:space="preserve">Update runbooks</x:t>
        </x:is>
      </x:c>
      <x:c r="N87" s="44" t="inlineStr">
        <x:is>
          <x:t xml:space="preserve">Not Started</x:t>
        </x:is>
      </x:c>
      <x:c r="O87" s="45" t="n"/>
      <x:c r="P87" s="73">
        <x:f>IF(N87="Done",1,IF(N87="Review",0.75,IF(N87="In Progress",0.5,0)))</x:f>
        <x:v>0</x:v>
      </x:c>
      <x:c r="Q87" s="45" t="n"/>
      <x:c r="R87" s="47" t="n"/>
      <x:c r="S87" s="47" t="n"/>
      <x:c r="T87" s="48" t="n"/>
      <x:c r="U87" s="49">
        <x:f>IF(AND(N87&lt;&gt;"Done",N87&lt;&gt;"Skipped",E87&lt;&gt;"",TODAY()&gt;E87),"Overdue","")</x:f>
      </x:c>
      <x:c r="V87" s="74" t="n"/>
      <x:c r="W87" s="47" t="n"/>
    </x:row>
    <x:row r="88" s="11" customFormat="1" ht="34" customHeight="1">
      <x:c r="A88" s="41" t="n">
        <x:v>85</x:v>
      </x:c>
      <x:c r="B88" s="41" t="n">
        <x:v>13</x:v>
      </x:c>
      <x:c r="C88" s="41" t="inlineStr">
        <x:is>
          <x:t xml:space="preserve">Mon</x:t>
        </x:is>
      </x:c>
      <x:c r="D88" s="41" t="inlineStr">
        <x:is>
          <x:t xml:space="preserve">Weekday</x:t>
        </x:is>
      </x:c>
      <x:c r="E88" s="64">
        <x:f>IF(Dashboard!$B$5="","",Dashboard!$B$5+A88-1)</x:f>
        <x:v>46209</x:v>
      </x:c>
      <x:c r="F88" s="41" t="n">
        <x:v>5</x:v>
      </x:c>
      <x:c r="G88" s="42" t="inlineStr">
        <x:is>
          <x:t xml:space="preserve">Mixed interview set, performance tuning, advanced networking, accessibility, cost/performance trade-offs</x:t>
        </x:is>
      </x:c>
      <x:c r="H88" s="43" t="inlineStr">
        <x:is>
          <x:t xml:space="preserve">Mixed medium set 1</x:t>
        </x:is>
      </x:c>
      <x:c r="I88" s="43" t="inlineStr">
        <x:is>
          <x:t xml:space="preserve">JFR / JMC basics</x:t>
        </x:is>
      </x:c>
      <x:c r="J88" s="43" t="inlineStr">
        <x:is>
          <x:t xml:space="preserve">Route 53 and DNS</x:t>
        </x:is>
      </x:c>
      <x:c r="K88" s="43" t="inlineStr">
        <x:is>
          <x:t xml:space="preserve">Semantic HTML</x:t>
        </x:is>
      </x:c>
      <x:c r="L88" s="42" t="inlineStr">
        <x:is>
          <x:t xml:space="preserve">Cost vs performance</x:t>
        </x:is>
      </x:c>
      <x:c r="M88" s="42" t="inlineStr">
        <x:is>
          <x:t xml:space="preserve">Record first performance baseline</x:t>
        </x:is>
      </x:c>
      <x:c r="N88" s="44" t="inlineStr">
        <x:is>
          <x:t xml:space="preserve">Not Started</x:t>
        </x:is>
      </x:c>
      <x:c r="O88" s="45" t="n"/>
      <x:c r="P88" s="73">
        <x:f>IF(N88="Done",1,IF(N88="Review",0.75,IF(N88="In Progress",0.5,0)))</x:f>
        <x:v>0</x:v>
      </x:c>
      <x:c r="Q88" s="45" t="n"/>
      <x:c r="R88" s="47" t="n"/>
      <x:c r="S88" s="47" t="n"/>
      <x:c r="T88" s="48" t="n"/>
      <x:c r="U88" s="49">
        <x:f>IF(AND(N88&lt;&gt;"Done",N88&lt;&gt;"Skipped",E88&lt;&gt;"",TODAY()&gt;E88),"Overdue","")</x:f>
      </x:c>
      <x:c r="V88" s="74" t="n"/>
      <x:c r="W88" s="47" t="n"/>
    </x:row>
    <x:row r="89" s="11" customFormat="1" ht="34" customHeight="1">
      <x:c r="A89" s="41" t="n">
        <x:v>86</x:v>
      </x:c>
      <x:c r="B89" s="41" t="n">
        <x:v>13</x:v>
      </x:c>
      <x:c r="C89" s="41" t="inlineStr">
        <x:is>
          <x:t xml:space="preserve">Tue</x:t>
        </x:is>
      </x:c>
      <x:c r="D89" s="41" t="inlineStr">
        <x:is>
          <x:t xml:space="preserve">Weekday</x:t>
        </x:is>
      </x:c>
      <x:c r="E89" s="64">
        <x:f>IF(Dashboard!$B$5="","",Dashboard!$B$5+A89-1)</x:f>
        <x:v>46210</x:v>
      </x:c>
      <x:c r="F89" s="41" t="n">
        <x:v>5</x:v>
      </x:c>
      <x:c r="G89" s="42" t="inlineStr">
        <x:is>
          <x:t xml:space="preserve">Mixed interview set, performance tuning, advanced networking, accessibility, cost/performance trade-offs</x:t>
        </x:is>
      </x:c>
      <x:c r="H89" s="43" t="inlineStr">
        <x:is>
          <x:t xml:space="preserve">Mixed medium set 2</x:t>
        </x:is>
      </x:c>
      <x:c r="I89" s="43" t="inlineStr">
        <x:is>
          <x:t xml:space="preserve">GC tuning flags</x:t>
        </x:is>
      </x:c>
      <x:c r="J89" s="43" t="inlineStr">
        <x:is>
          <x:t xml:space="preserve">CloudFront</x:t>
        </x:is>
      </x:c>
      <x:c r="K89" s="43" t="inlineStr">
        <x:is>
          <x:t xml:space="preserve">Keyboard navigation</x:t>
        </x:is>
      </x:c>
      <x:c r="L89" s="42" t="inlineStr">
        <x:is>
          <x:t xml:space="preserve">RTO/RPO</x:t>
        </x:is>
      </x:c>
      <x:c r="M89" s="42" t="inlineStr">
        <x:is>
          <x:t xml:space="preserve">CloudFront fronting app</x:t>
        </x:is>
      </x:c>
      <x:c r="N89" s="44" t="inlineStr">
        <x:is>
          <x:t xml:space="preserve">Not Started</x:t>
        </x:is>
      </x:c>
      <x:c r="O89" s="45" t="n"/>
      <x:c r="P89" s="73">
        <x:f>IF(N89="Done",1,IF(N89="Review",0.75,IF(N89="In Progress",0.5,0)))</x:f>
        <x:v>0</x:v>
      </x:c>
      <x:c r="Q89" s="45" t="n"/>
      <x:c r="R89" s="47" t="n"/>
      <x:c r="S89" s="47" t="n"/>
      <x:c r="T89" s="48" t="n"/>
      <x:c r="U89" s="49">
        <x:f>IF(AND(N89&lt;&gt;"Done",N89&lt;&gt;"Skipped",E89&lt;&gt;"",TODAY()&gt;E89),"Overdue","")</x:f>
      </x:c>
      <x:c r="V89" s="74" t="n"/>
      <x:c r="W89" s="47" t="n"/>
    </x:row>
    <x:row r="90" s="11" customFormat="1" ht="34" customHeight="1">
      <x:c r="A90" s="41" t="n">
        <x:v>87</x:v>
      </x:c>
      <x:c r="B90" s="41" t="n">
        <x:v>13</x:v>
      </x:c>
      <x:c r="C90" s="41" t="inlineStr">
        <x:is>
          <x:t xml:space="preserve">Wed</x:t>
        </x:is>
      </x:c>
      <x:c r="D90" s="41" t="inlineStr">
        <x:is>
          <x:t xml:space="preserve">Weekday</x:t>
        </x:is>
      </x:c>
      <x:c r="E90" s="64">
        <x:f>IF(Dashboard!$B$5="","",Dashboard!$B$5+A90-1)</x:f>
        <x:v>46211</x:v>
      </x:c>
      <x:c r="F90" s="41" t="n">
        <x:v>5</x:v>
      </x:c>
      <x:c r="G90" s="42" t="inlineStr">
        <x:is>
          <x:t xml:space="preserve">Mixed interview set, performance tuning, advanced networking, accessibility, cost/performance trade-offs</x:t>
        </x:is>
      </x:c>
      <x:c r="H90" s="43" t="inlineStr">
        <x:is>
          <x:t xml:space="preserve">Mixed medium set 3</x:t>
        </x:is>
      </x:c>
      <x:c r="I90" s="43" t="inlineStr">
        <x:is>
          <x:t xml:space="preserve">Heap/thread dump analysis</x:t>
        </x:is>
      </x:c>
      <x:c r="J90" s="43" t="inlineStr">
        <x:is>
          <x:t xml:space="preserve">ACM / HTTPS</x:t>
        </x:is>
      </x:c>
      <x:c r="K90" s="43" t="inlineStr">
        <x:is>
          <x:t xml:space="preserve">ARIA and labels</x:t>
        </x:is>
      </x:c>
      <x:c r="L90" s="42" t="inlineStr">
        <x:is>
          <x:t xml:space="preserve">Multi-AZ vs multi-region</x:t>
        </x:is>
      </x:c>
      <x:c r="M90" s="42" t="inlineStr">
        <x:is>
          <x:t xml:space="preserve">Accessibility checklist pass 1</x:t>
        </x:is>
      </x:c>
      <x:c r="N90" s="44" t="inlineStr">
        <x:is>
          <x:t xml:space="preserve">Not Started</x:t>
        </x:is>
      </x:c>
      <x:c r="O90" s="45" t="n"/>
      <x:c r="P90" s="73">
        <x:f>IF(N90="Done",1,IF(N90="Review",0.75,IF(N90="In Progress",0.5,0)))</x:f>
        <x:v>0</x:v>
      </x:c>
      <x:c r="Q90" s="45" t="n"/>
      <x:c r="R90" s="47" t="n"/>
      <x:c r="S90" s="47" t="n"/>
      <x:c r="T90" s="48" t="n"/>
      <x:c r="U90" s="49">
        <x:f>IF(AND(N90&lt;&gt;"Done",N90&lt;&gt;"Skipped",E90&lt;&gt;"",TODAY()&gt;E90),"Overdue","")</x:f>
      </x:c>
      <x:c r="V90" s="74" t="n"/>
      <x:c r="W90" s="47" t="n"/>
    </x:row>
    <x:row r="91" s="11" customFormat="1" ht="34" customHeight="1">
      <x:c r="A91" s="41" t="n">
        <x:v>88</x:v>
      </x:c>
      <x:c r="B91" s="41" t="n">
        <x:v>13</x:v>
      </x:c>
      <x:c r="C91" s="41" t="inlineStr">
        <x:is>
          <x:t xml:space="preserve">Thu</x:t>
        </x:is>
      </x:c>
      <x:c r="D91" s="41" t="inlineStr">
        <x:is>
          <x:t xml:space="preserve">Weekday</x:t>
        </x:is>
      </x:c>
      <x:c r="E91" s="64">
        <x:f>IF(Dashboard!$B$5="","",Dashboard!$B$5+A91-1)</x:f>
        <x:v>46212</x:v>
      </x:c>
      <x:c r="F91" s="41" t="n">
        <x:v>5</x:v>
      </x:c>
      <x:c r="G91" s="42" t="inlineStr">
        <x:is>
          <x:t xml:space="preserve">Mixed interview set, performance tuning, advanced networking, accessibility, cost/performance trade-offs</x:t>
        </x:is>
      </x:c>
      <x:c r="H91" s="43" t="inlineStr">
        <x:is>
          <x:t xml:space="preserve">Mixed medium set 4</x:t>
        </x:is>
      </x:c>
      <x:c r="I91" s="43" t="inlineStr">
        <x:is>
          <x:t xml:space="preserve">Connection and thread-pool tuning</x:t>
        </x:is>
      </x:c>
      <x:c r="J91" s="43" t="inlineStr">
        <x:is>
          <x:t xml:space="preserve">VPC endpoints / PrivateLink</x:t>
        </x:is>
      </x:c>
      <x:c r="K91" s="43" t="inlineStr">
        <x:is>
          <x:t xml:space="preserve">Performance budgets</x:t>
        </x:is>
      </x:c>
      <x:c r="L91" s="42" t="inlineStr">
        <x:is>
          <x:t xml:space="preserve">Scaling trade-offs</x:t>
        </x:is>
      </x:c>
      <x:c r="M91" s="42" t="inlineStr">
        <x:is>
          <x:t xml:space="preserve">Private connectivity notes</x:t>
        </x:is>
      </x:c>
      <x:c r="N91" s="44" t="inlineStr">
        <x:is>
          <x:t xml:space="preserve">Not Started</x:t>
        </x:is>
      </x:c>
      <x:c r="O91" s="45" t="n"/>
      <x:c r="P91" s="73">
        <x:f>IF(N91="Done",1,IF(N91="Review",0.75,IF(N91="In Progress",0.5,0)))</x:f>
        <x:v>0</x:v>
      </x:c>
      <x:c r="Q91" s="45" t="n"/>
      <x:c r="R91" s="47" t="n"/>
      <x:c r="S91" s="47" t="n"/>
      <x:c r="T91" s="48" t="n"/>
      <x:c r="U91" s="49">
        <x:f>IF(AND(N91&lt;&gt;"Done",N91&lt;&gt;"Skipped",E91&lt;&gt;"",TODAY()&gt;E91),"Overdue","")</x:f>
      </x:c>
      <x:c r="V91" s="74" t="n"/>
      <x:c r="W91" s="47" t="n"/>
    </x:row>
    <x:row r="92" s="11" customFormat="1" ht="34" customHeight="1">
      <x:c r="A92" s="41" t="n">
        <x:v>89</x:v>
      </x:c>
      <x:c r="B92" s="41" t="n">
        <x:v>13</x:v>
      </x:c>
      <x:c r="C92" s="41" t="inlineStr">
        <x:is>
          <x:t xml:space="preserve">Fri</x:t>
        </x:is>
      </x:c>
      <x:c r="D92" s="41" t="inlineStr">
        <x:is>
          <x:t xml:space="preserve">Weekday</x:t>
        </x:is>
      </x:c>
      <x:c r="E92" s="64">
        <x:f>IF(Dashboard!$B$5="","",Dashboard!$B$5+A92-1)</x:f>
        <x:v>46213</x:v>
      </x:c>
      <x:c r="F92" s="41" t="n">
        <x:v>5</x:v>
      </x:c>
      <x:c r="G92" s="42" t="inlineStr">
        <x:is>
          <x:t xml:space="preserve">Mixed interview set, performance tuning, advanced networking, accessibility, cost/performance trade-offs</x:t>
        </x:is>
      </x:c>
      <x:c r="H92" s="43" t="inlineStr">
        <x:is>
          <x:t xml:space="preserve">Mixed medium set 5</x:t>
        </x:is>
      </x:c>
      <x:c r="I92" s="43" t="inlineStr">
        <x:is>
          <x:t xml:space="preserve">DB/query profiling</x:t>
        </x:is>
      </x:c>
      <x:c r="J92" s="43" t="inlineStr">
        <x:is>
          <x:t xml:space="preserve">Cost explorer / cost optimization review</x:t>
        </x:is>
      </x:c>
      <x:c r="K92" s="43" t="inlineStr">
        <x:is>
          <x:t xml:space="preserve">Lighthouse audit</x:t>
        </x:is>
      </x:c>
      <x:c r="L92" s="42" t="inlineStr">
        <x:is>
          <x:t xml:space="preserve">Cost optimization levers</x:t>
        </x:is>
      </x:c>
      <x:c r="M92" s="42" t="inlineStr">
        <x:is>
          <x:t xml:space="preserve">Perf + cost review</x:t>
        </x:is>
      </x:c>
      <x:c r="N92" s="44" t="inlineStr">
        <x:is>
          <x:t xml:space="preserve">Not Started</x:t>
        </x:is>
      </x:c>
      <x:c r="O92" s="45" t="n"/>
      <x:c r="P92" s="73">
        <x:f>IF(N92="Done",1,IF(N92="Review",0.75,IF(N92="In Progress",0.5,0)))</x:f>
        <x:v>0</x:v>
      </x:c>
      <x:c r="Q92" s="45" t="n"/>
      <x:c r="R92" s="47" t="n"/>
      <x:c r="S92" s="47" t="n"/>
      <x:c r="T92" s="48" t="n"/>
      <x:c r="U92" s="49">
        <x:f>IF(AND(N92&lt;&gt;"Done",N92&lt;&gt;"Skipped",E92&lt;&gt;"",TODAY()&gt;E92),"Overdue","")</x:f>
      </x:c>
      <x:c r="V92" s="74" t="n"/>
      <x:c r="W92" s="47" t="n"/>
    </x:row>
    <x:row r="93" s="11" customFormat="1" ht="34" customHeight="1">
      <x:c r="A93" s="41" t="n">
        <x:v>90</x:v>
      </x:c>
      <x:c r="B93" s="41" t="n">
        <x:v>13</x:v>
      </x:c>
      <x:c r="C93" s="41" t="inlineStr">
        <x:is>
          <x:t xml:space="preserve">Sat</x:t>
        </x:is>
      </x:c>
      <x:c r="D93" s="41" t="inlineStr">
        <x:is>
          <x:t xml:space="preserve">Weekend</x:t>
        </x:is>
      </x:c>
      <x:c r="E93" s="64">
        <x:f>IF(Dashboard!$B$5="","",Dashboard!$B$5+A93-1)</x:f>
        <x:v>46214</x:v>
      </x:c>
      <x:c r="F93" s="41" t="n">
        <x:v>8</x:v>
      </x:c>
      <x:c r="G93" s="42" t="inlineStr">
        <x:is>
          <x:t xml:space="preserve">Mixed interview set, performance tuning, advanced networking, accessibility, cost/performance trade-offs</x:t>
        </x:is>
      </x:c>
      <x:c r="H93" s="43" t="inlineStr">
        <x:is>
          <x:t xml:space="preserve">Weekend timed DSA mock</x:t>
        </x:is>
      </x:c>
      <x:c r="I93" s="43" t="inlineStr">
        <x:is>
          <x:t xml:space="preserve">Performance tuning lab</x:t>
        </x:is>
      </x:c>
      <x:c r="J93" s="43" t="inlineStr">
        <x:is>
          <x:t xml:space="preserve">Global delivery lab</x:t>
        </x:is>
      </x:c>
      <x:c r="K93" s="43" t="inlineStr">
        <x:is>
          <x:t xml:space="preserve">Accessibility audit</x:t>
        </x:is>
      </x:c>
      <x:c r="L93" s="42" t="inlineStr">
        <x:is>
          <x:t xml:space="preserve">Well-Architected review</x:t>
        </x:is>
      </x:c>
      <x:c r="M93" s="42" t="inlineStr">
        <x:is>
          <x:t xml:space="preserve">Milestone: tuned and audited slice</x:t>
        </x:is>
      </x:c>
      <x:c r="N93" s="44" t="inlineStr">
        <x:is>
          <x:t xml:space="preserve">Not Started</x:t>
        </x:is>
      </x:c>
      <x:c r="O93" s="45" t="n"/>
      <x:c r="P93" s="73">
        <x:f>IF(N93="Done",1,IF(N93="Review",0.75,IF(N93="In Progress",0.5,0)))</x:f>
        <x:v>0</x:v>
      </x:c>
      <x:c r="Q93" s="45" t="n"/>
      <x:c r="R93" s="47" t="n"/>
      <x:c r="S93" s="47" t="n"/>
      <x:c r="T93" s="48" t="n"/>
      <x:c r="U93" s="49">
        <x:f>IF(AND(N93&lt;&gt;"Done",N93&lt;&gt;"Skipped",E93&lt;&gt;"",TODAY()&gt;E93),"Overdue","")</x:f>
      </x:c>
      <x:c r="V93" s="74" t="n"/>
      <x:c r="W93" s="47" t="n"/>
    </x:row>
    <x:row r="94" s="11" customFormat="1" ht="34" customHeight="1">
      <x:c r="A94" s="41" t="n">
        <x:v>91</x:v>
      </x:c>
      <x:c r="B94" s="41" t="n">
        <x:v>13</x:v>
      </x:c>
      <x:c r="C94" s="41" t="inlineStr">
        <x:is>
          <x:t xml:space="preserve">Sun</x:t>
        </x:is>
      </x:c>
      <x:c r="D94" s="41" t="inlineStr">
        <x:is>
          <x:t xml:space="preserve">Weekend</x:t>
        </x:is>
      </x:c>
      <x:c r="E94" s="64">
        <x:f>IF(Dashboard!$B$5="","",Dashboard!$B$5+A94-1)</x:f>
        <x:v>46215</x:v>
      </x:c>
      <x:c r="F94" s="41" t="n">
        <x:v>8</x:v>
      </x:c>
      <x:c r="G94" s="42" t="inlineStr">
        <x:is>
          <x:t xml:space="preserve">Mixed interview set, performance tuning, advanced networking, accessibility, cost/performance trade-offs</x:t>
        </x:is>
      </x:c>
      <x:c r="H94" s="43" t="inlineStr">
        <x:is>
          <x:t xml:space="preserve">Weekly review + mock corrections</x:t>
        </x:is>
      </x:c>
      <x:c r="I94" s="43" t="inlineStr">
        <x:is>
          <x:t xml:space="preserve">Performance recap</x:t>
        </x:is>
      </x:c>
      <x:c r="J94" s="43" t="inlineStr">
        <x:is>
          <x:t xml:space="preserve">Networking recap</x:t>
        </x:is>
      </x:c>
      <x:c r="K94" s="43" t="inlineStr">
        <x:is>
          <x:t xml:space="preserve">A11y recap</x:t>
        </x:is>
      </x:c>
      <x:c r="L94" s="42" t="inlineStr">
        <x:is>
          <x:t xml:space="preserve">Retrospective</x:t>
        </x:is>
      </x:c>
      <x:c r="M94" s="42" t="inlineStr">
        <x:is>
          <x:t xml:space="preserve">Update scorecard</x:t>
        </x:is>
      </x:c>
      <x:c r="N94" s="44" t="inlineStr">
        <x:is>
          <x:t xml:space="preserve">Not Started</x:t>
        </x:is>
      </x:c>
      <x:c r="O94" s="45" t="n"/>
      <x:c r="P94" s="73">
        <x:f>IF(N94="Done",1,IF(N94="Review",0.75,IF(N94="In Progress",0.5,0)))</x:f>
        <x:v>0</x:v>
      </x:c>
      <x:c r="Q94" s="45" t="n"/>
      <x:c r="R94" s="47" t="n"/>
      <x:c r="S94" s="47" t="n"/>
      <x:c r="T94" s="48" t="n"/>
      <x:c r="U94" s="49">
        <x:f>IF(AND(N94&lt;&gt;"Done",N94&lt;&gt;"Skipped",E94&lt;&gt;"",TODAY()&gt;E94),"Overdue","")</x:f>
      </x:c>
      <x:c r="V94" s="74" t="n"/>
      <x:c r="W94" s="47" t="n"/>
    </x:row>
    <x:row r="95" s="11" customFormat="1" ht="34" customHeight="1">
      <x:c r="A95" s="41" t="n">
        <x:v>92</x:v>
      </x:c>
      <x:c r="B95" s="41" t="n">
        <x:v>14</x:v>
      </x:c>
      <x:c r="C95" s="41" t="inlineStr">
        <x:is>
          <x:t xml:space="preserve">Mon</x:t>
        </x:is>
      </x:c>
      <x:c r="D95" s="41" t="inlineStr">
        <x:is>
          <x:t xml:space="preserve">Weekday</x:t>
        </x:is>
      </x:c>
      <x:c r="E95" s="64">
        <x:f>IF(Dashboard!$B$5="","",Dashboard!$B$5+A95-1)</x:f>
        <x:v>46216</x:v>
      </x:c>
      <x:c r="F95" s="41" t="n">
        <x:v>5</x:v>
      </x:c>
      <x:c r="G95" s="42" t="inlineStr">
        <x:is>
          <x:t xml:space="preserve">System-design implementation, HA/DR, frontend monitoring, stakeholder communication</x:t>
        </x:is>
      </x:c>
      <x:c r="H95" s="43" t="inlineStr">
        <x:is>
          <x:t xml:space="preserve">Design-focused DSA mix 1</x:t>
        </x:is>
      </x:c>
      <x:c r="I95" s="43" t="inlineStr">
        <x:is>
          <x:t xml:space="preserve">Implement rate limiter</x:t>
        </x:is>
      </x:c>
      <x:c r="J95" s="43" t="inlineStr">
        <x:is>
          <x:t xml:space="preserve">High-availability patterns</x:t>
        </x:is>
      </x:c>
      <x:c r="K95" s="43" t="inlineStr">
        <x:is>
          <x:t xml:space="preserve">Frontend error logging</x:t>
        </x:is>
      </x:c>
      <x:c r="L95" s="42" t="inlineStr">
        <x:is>
          <x:t xml:space="preserve">CAP trade-off exercise</x:t>
        </x:is>
      </x:c>
      <x:c r="M95" s="42" t="inlineStr">
        <x:is>
          <x:t xml:space="preserve">Rate limiter proof of concept</x:t>
        </x:is>
      </x:c>
      <x:c r="N95" s="44" t="inlineStr">
        <x:is>
          <x:t xml:space="preserve">Not Started</x:t>
        </x:is>
      </x:c>
      <x:c r="O95" s="45" t="n"/>
      <x:c r="P95" s="73">
        <x:f>IF(N95="Done",1,IF(N95="Review",0.75,IF(N95="In Progress",0.5,0)))</x:f>
        <x:v>0</x:v>
      </x:c>
      <x:c r="Q95" s="45" t="n"/>
      <x:c r="R95" s="47" t="n"/>
      <x:c r="S95" s="47" t="n"/>
      <x:c r="T95" s="48" t="n"/>
      <x:c r="U95" s="49">
        <x:f>IF(AND(N95&lt;&gt;"Done",N95&lt;&gt;"Skipped",E95&lt;&gt;"",TODAY()&gt;E95),"Overdue","")</x:f>
      </x:c>
      <x:c r="V95" s="74" t="n"/>
      <x:c r="W95" s="47" t="n"/>
    </x:row>
    <x:row r="96" s="11" customFormat="1" ht="34" customHeight="1">
      <x:c r="A96" s="41" t="n">
        <x:v>93</x:v>
      </x:c>
      <x:c r="B96" s="41" t="n">
        <x:v>14</x:v>
      </x:c>
      <x:c r="C96" s="41" t="inlineStr">
        <x:is>
          <x:t xml:space="preserve">Tue</x:t>
        </x:is>
      </x:c>
      <x:c r="D96" s="41" t="inlineStr">
        <x:is>
          <x:t xml:space="preserve">Weekday</x:t>
        </x:is>
      </x:c>
      <x:c r="E96" s="64">
        <x:f>IF(Dashboard!$B$5="","",Dashboard!$B$5+A96-1)</x:f>
        <x:v>46217</x:v>
      </x:c>
      <x:c r="F96" s="41" t="n">
        <x:v>5</x:v>
      </x:c>
      <x:c r="G96" s="42" t="inlineStr">
        <x:is>
          <x:t xml:space="preserve">System-design implementation, HA/DR, frontend monitoring, stakeholder communication</x:t>
        </x:is>
      </x:c>
      <x:c r="H96" s="43" t="inlineStr">
        <x:is>
          <x:t xml:space="preserve">Graph/DP mix</x:t>
        </x:is>
      </x:c>
      <x:c r="I96" s="43" t="inlineStr">
        <x:is>
          <x:t xml:space="preserve">Notification system design</x:t>
        </x:is>
      </x:c>
      <x:c r="J96" s="43" t="inlineStr">
        <x:is>
          <x:t xml:space="preserve">Backup and disaster recovery</x:t>
        </x:is>
      </x:c>
      <x:c r="K96" s="43" t="inlineStr">
        <x:is>
          <x:t xml:space="preserve">User analytics basics</x:t>
        </x:is>
      </x:c>
      <x:c r="L96" s="42" t="inlineStr">
        <x:is>
          <x:t xml:space="preserve">Blue-green vs canary</x:t>
        </x:is>
      </x:c>
      <x:c r="M96" s="42" t="inlineStr">
        <x:is>
          <x:t xml:space="preserve">DR strategy notes</x:t>
        </x:is>
      </x:c>
      <x:c r="N96" s="44" t="inlineStr">
        <x:is>
          <x:t xml:space="preserve">Not Started</x:t>
        </x:is>
      </x:c>
      <x:c r="O96" s="45" t="n"/>
      <x:c r="P96" s="73">
        <x:f>IF(N96="Done",1,IF(N96="Review",0.75,IF(N96="In Progress",0.5,0)))</x:f>
        <x:v>0</x:v>
      </x:c>
      <x:c r="Q96" s="45" t="n"/>
      <x:c r="R96" s="47" t="n"/>
      <x:c r="S96" s="47" t="n"/>
      <x:c r="T96" s="48" t="n"/>
      <x:c r="U96" s="49">
        <x:f>IF(AND(N96&lt;&gt;"Done",N96&lt;&gt;"Skipped",E96&lt;&gt;"",TODAY()&gt;E96),"Overdue","")</x:f>
      </x:c>
      <x:c r="V96" s="74" t="n"/>
      <x:c r="W96" s="47" t="n"/>
    </x:row>
    <x:row r="97" s="11" customFormat="1" ht="34" customHeight="1">
      <x:c r="A97" s="41" t="n">
        <x:v>94</x:v>
      </x:c>
      <x:c r="B97" s="41" t="n">
        <x:v>14</x:v>
      </x:c>
      <x:c r="C97" s="41" t="inlineStr">
        <x:is>
          <x:t xml:space="preserve">Wed</x:t>
        </x:is>
      </x:c>
      <x:c r="D97" s="41" t="inlineStr">
        <x:is>
          <x:t xml:space="preserve">Weekday</x:t>
        </x:is>
      </x:c>
      <x:c r="E97" s="64">
        <x:f>IF(Dashboard!$B$5="","",Dashboard!$B$5+A97-1)</x:f>
        <x:v>46218</x:v>
      </x:c>
      <x:c r="F97" s="41" t="n">
        <x:v>5</x:v>
      </x:c>
      <x:c r="G97" s="42" t="inlineStr">
        <x:is>
          <x:t xml:space="preserve">System-design implementation, HA/DR, frontend monitoring, stakeholder communication</x:t>
        </x:is>
      </x:c>
      <x:c r="H97" s="43" t="inlineStr">
        <x:is>
          <x:t xml:space="preserve">Interval/backtracking mix</x:t>
        </x:is>
      </x:c>
      <x:c r="I97" s="43" t="inlineStr">
        <x:is>
          <x:t xml:space="preserve">URL shortener design</x:t>
        </x:is>
      </x:c>
      <x:c r="J97" s="43" t="inlineStr">
        <x:is>
          <x:t xml:space="preserve">Autoscaling strategies</x:t>
        </x:is>
      </x:c>
      <x:c r="K97" s="43" t="inlineStr">
        <x:is>
          <x:t xml:space="preserve">Web Vitals monitoring</x:t>
        </x:is>
      </x:c>
      <x:c r="L97" s="42" t="inlineStr">
        <x:is>
          <x:t xml:space="preserve">Active-active vs active-passive</x:t>
        </x:is>
      </x:c>
      <x:c r="M97" s="42" t="inlineStr">
        <x:is>
          <x:t xml:space="preserve">Architecture diagram v1</x:t>
        </x:is>
      </x:c>
      <x:c r="N97" s="44" t="inlineStr">
        <x:is>
          <x:t xml:space="preserve">Not Started</x:t>
        </x:is>
      </x:c>
      <x:c r="O97" s="45" t="n"/>
      <x:c r="P97" s="73">
        <x:f>IF(N97="Done",1,IF(N97="Review",0.75,IF(N97="In Progress",0.5,0)))</x:f>
        <x:v>0</x:v>
      </x:c>
      <x:c r="Q97" s="45" t="n"/>
      <x:c r="R97" s="47" t="n"/>
      <x:c r="S97" s="47" t="n"/>
      <x:c r="T97" s="48" t="n"/>
      <x:c r="U97" s="49">
        <x:f>IF(AND(N97&lt;&gt;"Done",N97&lt;&gt;"Skipped",E97&lt;&gt;"",TODAY()&gt;E97),"Overdue","")</x:f>
      </x:c>
      <x:c r="V97" s="74" t="n"/>
      <x:c r="W97" s="47" t="n"/>
    </x:row>
    <x:row r="98" s="11" customFormat="1" ht="34" customHeight="1">
      <x:c r="A98" s="41" t="n">
        <x:v>95</x:v>
      </x:c>
      <x:c r="B98" s="41" t="n">
        <x:v>14</x:v>
      </x:c>
      <x:c r="C98" s="41" t="inlineStr">
        <x:is>
          <x:t xml:space="preserve">Thu</x:t>
        </x:is>
      </x:c>
      <x:c r="D98" s="41" t="inlineStr">
        <x:is>
          <x:t xml:space="preserve">Weekday</x:t>
        </x:is>
      </x:c>
      <x:c r="E98" s="64">
        <x:f>IF(Dashboard!$B$5="","",Dashboard!$B$5+A98-1)</x:f>
        <x:v>46219</x:v>
      </x:c>
      <x:c r="F98" s="41" t="n">
        <x:v>5</x:v>
      </x:c>
      <x:c r="G98" s="42" t="inlineStr">
        <x:is>
          <x:t xml:space="preserve">System-design implementation, HA/DR, frontend monitoring, stakeholder communication</x:t>
        </x:is>
      </x:c>
      <x:c r="H98" s="43" t="inlineStr">
        <x:is>
          <x:t xml:space="preserve">Timed mock</x:t>
        </x:is>
      </x:c>
      <x:c r="I98" s="43" t="inlineStr">
        <x:is>
          <x:t xml:space="preserve">File upload system design</x:t>
        </x:is>
      </x:c>
      <x:c r="J98" s="43" t="inlineStr">
        <x:is>
          <x:t xml:space="preserve">Database failover</x:t>
        </x:is>
      </x:c>
      <x:c r="K98" s="43" t="inlineStr">
        <x:is>
          <x:t xml:space="preserve">Feature flags</x:t>
        </x:is>
      </x:c>
      <x:c r="L98" s="42" t="inlineStr">
        <x:is>
          <x:t xml:space="preserve">Architecture decision records</x:t>
        </x:is>
      </x:c>
      <x:c r="M98" s="42" t="inlineStr">
        <x:is>
          <x:t xml:space="preserve">ADR set started</x:t>
        </x:is>
      </x:c>
      <x:c r="N98" s="44" t="inlineStr">
        <x:is>
          <x:t xml:space="preserve">Not Started</x:t>
        </x:is>
      </x:c>
      <x:c r="O98" s="45" t="n"/>
      <x:c r="P98" s="73">
        <x:f>IF(N98="Done",1,IF(N98="Review",0.75,IF(N98="In Progress",0.5,0)))</x:f>
        <x:v>0</x:v>
      </x:c>
      <x:c r="Q98" s="45" t="n"/>
      <x:c r="R98" s="47" t="n"/>
      <x:c r="S98" s="47" t="n"/>
      <x:c r="T98" s="48" t="n"/>
      <x:c r="U98" s="49">
        <x:f>IF(AND(N98&lt;&gt;"Done",N98&lt;&gt;"Skipped",E98&lt;&gt;"",TODAY()&gt;E98),"Overdue","")</x:f>
      </x:c>
      <x:c r="V98" s="74" t="n"/>
      <x:c r="W98" s="47" t="n"/>
    </x:row>
    <x:row r="99" s="11" customFormat="1" ht="34" customHeight="1">
      <x:c r="A99" s="41" t="n">
        <x:v>96</x:v>
      </x:c>
      <x:c r="B99" s="41" t="n">
        <x:v>14</x:v>
      </x:c>
      <x:c r="C99" s="41" t="inlineStr">
        <x:is>
          <x:t xml:space="preserve">Fri</x:t>
        </x:is>
      </x:c>
      <x:c r="D99" s="41" t="inlineStr">
        <x:is>
          <x:t xml:space="preserve">Weekday</x:t>
        </x:is>
      </x:c>
      <x:c r="E99" s="64">
        <x:f>IF(Dashboard!$B$5="","",Dashboard!$B$5+A99-1)</x:f>
        <x:v>46220</x:v>
      </x:c>
      <x:c r="F99" s="41" t="n">
        <x:v>5</x:v>
      </x:c>
      <x:c r="G99" s="42" t="inlineStr">
        <x:is>
          <x:t xml:space="preserve">System-design implementation, HA/DR, frontend monitoring, stakeholder communication</x:t>
        </x:is>
      </x:c>
      <x:c r="H99" s="43" t="inlineStr">
        <x:is>
          <x:t xml:space="preserve">Timed mock</x:t>
        </x:is>
      </x:c>
      <x:c r="I99" s="43" t="inlineStr">
        <x:is>
          <x:t xml:space="preserve">Payment system design</x:t>
        </x:is>
      </x:c>
      <x:c r="J99" s="43" t="inlineStr">
        <x:is>
          <x:t xml:space="preserve">Queue buffering and decoupling</x:t>
        </x:is>
      </x:c>
      <x:c r="K99" s="43" t="inlineStr">
        <x:is>
          <x:t xml:space="preserve">Distributed tracing across UI/API</x:t>
        </x:is>
      </x:c>
      <x:c r="L99" s="42" t="inlineStr">
        <x:is>
          <x:t xml:space="preserve">Stakeholder communication and trade-off presentation</x:t>
        </x:is>
      </x:c>
      <x:c r="M99" s="42" t="inlineStr">
        <x:is>
          <x:t xml:space="preserve">Prepare 5-minute design talk</x:t>
        </x:is>
      </x:c>
      <x:c r="N99" s="44" t="inlineStr">
        <x:is>
          <x:t xml:space="preserve">Not Started</x:t>
        </x:is>
      </x:c>
      <x:c r="O99" s="45" t="n"/>
      <x:c r="P99" s="73">
        <x:f>IF(N99="Done",1,IF(N99="Review",0.75,IF(N99="In Progress",0.5,0)))</x:f>
        <x:v>0</x:v>
      </x:c>
      <x:c r="Q99" s="45" t="n"/>
      <x:c r="R99" s="47" t="n"/>
      <x:c r="S99" s="47" t="n"/>
      <x:c r="T99" s="48" t="n"/>
      <x:c r="U99" s="49">
        <x:f>IF(AND(N99&lt;&gt;"Done",N99&lt;&gt;"Skipped",E99&lt;&gt;"",TODAY()&gt;E99),"Overdue","")</x:f>
      </x:c>
      <x:c r="V99" s="74" t="n"/>
      <x:c r="W99" s="47" t="n"/>
    </x:row>
    <x:row r="100" s="11" customFormat="1" ht="34" customHeight="1">
      <x:c r="A100" s="41" t="n">
        <x:v>97</x:v>
      </x:c>
      <x:c r="B100" s="41" t="n">
        <x:v>14</x:v>
      </x:c>
      <x:c r="C100" s="41" t="inlineStr">
        <x:is>
          <x:t xml:space="preserve">Sat</x:t>
        </x:is>
      </x:c>
      <x:c r="D100" s="41" t="inlineStr">
        <x:is>
          <x:t xml:space="preserve">Weekend</x:t>
        </x:is>
      </x:c>
      <x:c r="E100" s="64">
        <x:f>IF(Dashboard!$B$5="","",Dashboard!$B$5+A100-1)</x:f>
        <x:v>46221</x:v>
      </x:c>
      <x:c r="F100" s="41" t="n">
        <x:v>8</x:v>
      </x:c>
      <x:c r="G100" s="42" t="inlineStr">
        <x:is>
          <x:t xml:space="preserve">System-design implementation, HA/DR, frontend monitoring, stakeholder communication</x:t>
        </x:is>
      </x:c>
      <x:c r="H100" s="43" t="inlineStr">
        <x:is>
          <x:t xml:space="preserve">Weekend mock interview + design round</x:t>
        </x:is>
      </x:c>
      <x:c r="I100" s="43" t="inlineStr">
        <x:is>
          <x:t xml:space="preserve">Implement one design slice</x:t>
        </x:is>
      </x:c>
      <x:c r="J100" s="43" t="inlineStr">
        <x:is>
          <x:t xml:space="preserve">DR walkthrough</x:t>
        </x:is>
      </x:c>
      <x:c r="K100" s="43" t="inlineStr">
        <x:is>
          <x:t xml:space="preserve">Monitoring dashboard</x:t>
        </x:is>
      </x:c>
      <x:c r="L100" s="42" t="inlineStr">
        <x:is>
          <x:t xml:space="preserve">Architecture review</x:t>
        </x:is>
      </x:c>
      <x:c r="M100" s="42" t="inlineStr">
        <x:is>
          <x:t xml:space="preserve">Milestone: design and explain</x:t>
        </x:is>
      </x:c>
      <x:c r="N100" s="44" t="inlineStr">
        <x:is>
          <x:t xml:space="preserve">Not Started</x:t>
        </x:is>
      </x:c>
      <x:c r="O100" s="45" t="n"/>
      <x:c r="P100" s="73">
        <x:f>IF(N100="Done",1,IF(N100="Review",0.75,IF(N100="In Progress",0.5,0)))</x:f>
        <x:v>0</x:v>
      </x:c>
      <x:c r="Q100" s="45" t="n"/>
      <x:c r="R100" s="47" t="n"/>
      <x:c r="S100" s="47" t="n"/>
      <x:c r="T100" s="48" t="n"/>
      <x:c r="U100" s="49">
        <x:f>IF(AND(N100&lt;&gt;"Done",N100&lt;&gt;"Skipped",E100&lt;&gt;"",TODAY()&gt;E100),"Overdue","")</x:f>
      </x:c>
      <x:c r="V100" s="74" t="n"/>
      <x:c r="W100" s="47" t="n"/>
    </x:row>
    <x:row r="101" s="11" customFormat="1" ht="34" customHeight="1">
      <x:c r="A101" s="41" t="n">
        <x:v>98</x:v>
      </x:c>
      <x:c r="B101" s="41" t="n">
        <x:v>14</x:v>
      </x:c>
      <x:c r="C101" s="41" t="inlineStr">
        <x:is>
          <x:t xml:space="preserve">Sun</x:t>
        </x:is>
      </x:c>
      <x:c r="D101" s="41" t="inlineStr">
        <x:is>
          <x:t xml:space="preserve">Weekend</x:t>
        </x:is>
      </x:c>
      <x:c r="E101" s="64">
        <x:f>IF(Dashboard!$B$5="","",Dashboard!$B$5+A101-1)</x:f>
        <x:v>46222</x:v>
      </x:c>
      <x:c r="F101" s="41" t="n">
        <x:v>8</x:v>
      </x:c>
      <x:c r="G101" s="42" t="inlineStr">
        <x:is>
          <x:t xml:space="preserve">System-design implementation, HA/DR, frontend monitoring, stakeholder communication</x:t>
        </x:is>
      </x:c>
      <x:c r="H101" s="43" t="inlineStr">
        <x:is>
          <x:t xml:space="preserve">Weekly review + corrections</x:t>
        </x:is>
      </x:c>
      <x:c r="I101" s="43" t="inlineStr">
        <x:is>
          <x:t xml:space="preserve">System design recap</x:t>
        </x:is>
      </x:c>
      <x:c r="J101" s="43" t="inlineStr">
        <x:is>
          <x:t xml:space="preserve">HA/DR recap</x:t>
        </x:is>
      </x:c>
      <x:c r="K101" s="43" t="inlineStr">
        <x:is>
          <x:t xml:space="preserve">Monitoring recap</x:t>
        </x:is>
      </x:c>
      <x:c r="L101" s="42" t="inlineStr">
        <x:is>
          <x:t xml:space="preserve">Retrospective</x:t>
        </x:is>
      </x:c>
      <x:c r="M101" s="42" t="inlineStr">
        <x:is>
          <x:t xml:space="preserve">Update portfolio notes</x:t>
        </x:is>
      </x:c>
      <x:c r="N101" s="44" t="inlineStr">
        <x:is>
          <x:t xml:space="preserve">Not Started</x:t>
        </x:is>
      </x:c>
      <x:c r="O101" s="45" t="n"/>
      <x:c r="P101" s="73">
        <x:f>IF(N101="Done",1,IF(N101="Review",0.75,IF(N101="In Progress",0.5,0)))</x:f>
        <x:v>0</x:v>
      </x:c>
      <x:c r="Q101" s="45" t="n"/>
      <x:c r="R101" s="47" t="n"/>
      <x:c r="S101" s="47" t="n"/>
      <x:c r="T101" s="48" t="n"/>
      <x:c r="U101" s="49">
        <x:f>IF(AND(N101&lt;&gt;"Done",N101&lt;&gt;"Skipped",E101&lt;&gt;"",TODAY()&gt;E101),"Overdue","")</x:f>
      </x:c>
      <x:c r="V101" s="74" t="n"/>
      <x:c r="W101" s="47" t="n"/>
    </x:row>
    <x:row r="102" s="11" customFormat="1" ht="34" customHeight="1">
      <x:c r="A102" s="41" t="n">
        <x:v>99</x:v>
      </x:c>
      <x:c r="B102" s="41" t="n">
        <x:v>15</x:v>
      </x:c>
      <x:c r="C102" s="41" t="inlineStr">
        <x:is>
          <x:t xml:space="preserve">Mon</x:t>
        </x:is>
      </x:c>
      <x:c r="D102" s="41" t="inlineStr">
        <x:is>
          <x:t xml:space="preserve">Weekday</x:t>
        </x:is>
      </x:c>
      <x:c r="E102" s="64">
        <x:f>IF(Dashboard!$B$5="","",Dashboard!$B$5+A102-1)</x:f>
        <x:v>46223</x:v>
      </x:c>
      <x:c r="F102" s="41" t="n">
        <x:v>5</x:v>
      </x:c>
      <x:c r="G102" s="42" t="inlineStr">
        <x:is>
          <x:t xml:space="preserve">GenAI basics, LLM integration, RAG, chat UI, AI architecture and governance</x:t>
        </x:is>
      </x:c>
      <x:c r="H102" s="43" t="inlineStr">
        <x:is>
          <x:t xml:space="preserve">Weak-area DSA set 1</x:t>
        </x:is>
      </x:c>
      <x:c r="I102" s="43" t="inlineStr">
        <x:is>
          <x:t xml:space="preserve">Integrate an LLM API from Java</x:t>
        </x:is>
      </x:c>
      <x:c r="J102" s="43" t="inlineStr">
        <x:is>
          <x:t xml:space="preserve">S3 knowledge-base basics</x:t>
        </x:is>
      </x:c>
      <x:c r="K102" s="43" t="inlineStr">
        <x:is>
          <x:t xml:space="preserve">Chat UI skeleton</x:t>
        </x:is>
      </x:c>
      <x:c r="L102" s="42" t="inlineStr">
        <x:is>
          <x:t xml:space="preserve">Prompt engineering basics</x:t>
        </x:is>
      </x:c>
      <x:c r="M102" s="42" t="inlineStr">
        <x:is>
          <x:t xml:space="preserve">Hello-world AI endpoint</x:t>
        </x:is>
      </x:c>
      <x:c r="N102" s="44" t="inlineStr">
        <x:is>
          <x:t xml:space="preserve">Not Started</x:t>
        </x:is>
      </x:c>
      <x:c r="O102" s="45" t="n"/>
      <x:c r="P102" s="73">
        <x:f>IF(N102="Done",1,IF(N102="Review",0.75,IF(N102="In Progress",0.5,0)))</x:f>
        <x:v>0</x:v>
      </x:c>
      <x:c r="Q102" s="45" t="n"/>
      <x:c r="R102" s="47" t="n"/>
      <x:c r="S102" s="47" t="n"/>
      <x:c r="T102" s="48" t="n"/>
      <x:c r="U102" s="49">
        <x:f>IF(AND(N102&lt;&gt;"Done",N102&lt;&gt;"Skipped",E102&lt;&gt;"",TODAY()&gt;E102),"Overdue","")</x:f>
      </x:c>
      <x:c r="V102" s="74" t="n"/>
      <x:c r="W102" s="47" t="n"/>
    </x:row>
    <x:row r="103" s="11" customFormat="1" ht="34" customHeight="1">
      <x:c r="A103" s="41" t="n">
        <x:v>100</x:v>
      </x:c>
      <x:c r="B103" s="41" t="n">
        <x:v>15</x:v>
      </x:c>
      <x:c r="C103" s="41" t="inlineStr">
        <x:is>
          <x:t xml:space="preserve">Tue</x:t>
        </x:is>
      </x:c>
      <x:c r="D103" s="41" t="inlineStr">
        <x:is>
          <x:t xml:space="preserve">Weekday</x:t>
        </x:is>
      </x:c>
      <x:c r="E103" s="64">
        <x:f>IF(Dashboard!$B$5="","",Dashboard!$B$5+A103-1)</x:f>
        <x:v>46224</x:v>
      </x:c>
      <x:c r="F103" s="41" t="n">
        <x:v>5</x:v>
      </x:c>
      <x:c r="G103" s="42" t="inlineStr">
        <x:is>
          <x:t xml:space="preserve">GenAI basics, LLM integration, RAG, chat UI, AI architecture and governance</x:t>
        </x:is>
      </x:c>
      <x:c r="H103" s="43" t="inlineStr">
        <x:is>
          <x:t xml:space="preserve">Weak-area DSA set 2</x:t>
        </x:is>
      </x:c>
      <x:c r="I103" s="43" t="inlineStr">
        <x:is>
          <x:t xml:space="preserve">Embeddings and vector DB concepts</x:t>
        </x:is>
      </x:c>
      <x:c r="J103" s="43" t="inlineStr">
        <x:is>
          <x:t xml:space="preserve">Document ingestion pipeline</x:t>
        </x:is>
      </x:c>
      <x:c r="K103" s="43" t="inlineStr">
        <x:is>
          <x:t xml:space="preserve">Streaming response UI</x:t>
        </x:is>
      </x:c>
      <x:c r="L103" s="42" t="inlineStr">
        <x:is>
          <x:t xml:space="preserve">RAG architecture</x:t>
        </x:is>
      </x:c>
      <x:c r="M103" s="42" t="inlineStr">
        <x:is>
          <x:t xml:space="preserve">Document ingestion flow drafted</x:t>
        </x:is>
      </x:c>
      <x:c r="N103" s="44" t="inlineStr">
        <x:is>
          <x:t xml:space="preserve">Not Started</x:t>
        </x:is>
      </x:c>
      <x:c r="O103" s="45" t="n"/>
      <x:c r="P103" s="73">
        <x:f>IF(N103="Done",1,IF(N103="Review",0.75,IF(N103="In Progress",0.5,0)))</x:f>
        <x:v>0</x:v>
      </x:c>
      <x:c r="Q103" s="45" t="n"/>
      <x:c r="R103" s="47" t="n"/>
      <x:c r="S103" s="47" t="n"/>
      <x:c r="T103" s="48" t="n"/>
      <x:c r="U103" s="49">
        <x:f>IF(AND(N103&lt;&gt;"Done",N103&lt;&gt;"Skipped",E103&lt;&gt;"",TODAY()&gt;E103),"Overdue","")</x:f>
      </x:c>
      <x:c r="V103" s="74" t="n"/>
      <x:c r="W103" s="47" t="n"/>
    </x:row>
    <x:row r="104" s="11" customFormat="1" ht="34" customHeight="1">
      <x:c r="A104" s="41" t="n">
        <x:v>101</x:v>
      </x:c>
      <x:c r="B104" s="41" t="n">
        <x:v>15</x:v>
      </x:c>
      <x:c r="C104" s="41" t="inlineStr">
        <x:is>
          <x:t xml:space="preserve">Wed</x:t>
        </x:is>
      </x:c>
      <x:c r="D104" s="41" t="inlineStr">
        <x:is>
          <x:t xml:space="preserve">Weekday</x:t>
        </x:is>
      </x:c>
      <x:c r="E104" s="64">
        <x:f>IF(Dashboard!$B$5="","",Dashboard!$B$5+A104-1)</x:f>
        <x:v>46225</x:v>
      </x:c>
      <x:c r="F104" s="41" t="n">
        <x:v>5</x:v>
      </x:c>
      <x:c r="G104" s="42" t="inlineStr">
        <x:is>
          <x:t xml:space="preserve">GenAI basics, LLM integration, RAG, chat UI, AI architecture and governance</x:t>
        </x:is>
      </x:c>
      <x:c r="H104" s="43" t="inlineStr">
        <x:is>
          <x:t xml:space="preserve">Weak-area DSA set 3</x:t>
        </x:is>
      </x:c>
      <x:c r="I104" s="43" t="inlineStr">
        <x:is>
          <x:t xml:space="preserve">Chunking and retrieval orchestration</x:t>
        </x:is>
      </x:c>
      <x:c r="J104" s="43" t="inlineStr">
        <x:is>
          <x:t xml:space="preserve">Async processing for ingestion</x:t>
        </x:is>
      </x:c>
      <x:c r="K104" s="43" t="inlineStr">
        <x:is>
          <x:t xml:space="preserve">Chat state management</x:t>
        </x:is>
      </x:c>
      <x:c r="L104" s="42" t="inlineStr">
        <x:is>
          <x:t xml:space="preserve">Grounding and hallucination controls</x:t>
        </x:is>
      </x:c>
      <x:c r="M104" s="42" t="inlineStr">
        <x:is>
          <x:t xml:space="preserve">Ingestion job prototype</x:t>
        </x:is>
      </x:c>
      <x:c r="N104" s="44" t="inlineStr">
        <x:is>
          <x:t xml:space="preserve">Not Started</x:t>
        </x:is>
      </x:c>
      <x:c r="O104" s="45" t="n"/>
      <x:c r="P104" s="73">
        <x:f>IF(N104="Done",1,IF(N104="Review",0.75,IF(N104="In Progress",0.5,0)))</x:f>
        <x:v>0</x:v>
      </x:c>
      <x:c r="Q104" s="45" t="n"/>
      <x:c r="R104" s="47" t="n"/>
      <x:c r="S104" s="47" t="n"/>
      <x:c r="T104" s="48" t="n"/>
      <x:c r="U104" s="49">
        <x:f>IF(AND(N104&lt;&gt;"Done",N104&lt;&gt;"Skipped",E104&lt;&gt;"",TODAY()&gt;E104),"Overdue","")</x:f>
      </x:c>
      <x:c r="V104" s="74" t="n"/>
      <x:c r="W104" s="47" t="n"/>
    </x:row>
    <x:row r="105" s="11" customFormat="1" ht="34" customHeight="1">
      <x:c r="A105" s="41" t="n">
        <x:v>102</x:v>
      </x:c>
      <x:c r="B105" s="41" t="n">
        <x:v>15</x:v>
      </x:c>
      <x:c r="C105" s="41" t="inlineStr">
        <x:is>
          <x:t xml:space="preserve">Thu</x:t>
        </x:is>
      </x:c>
      <x:c r="D105" s="41" t="inlineStr">
        <x:is>
          <x:t xml:space="preserve">Weekday</x:t>
        </x:is>
      </x:c>
      <x:c r="E105" s="64">
        <x:f>IF(Dashboard!$B$5="","",Dashboard!$B$5+A105-1)</x:f>
        <x:v>46226</x:v>
      </x:c>
      <x:c r="F105" s="41" t="n">
        <x:v>5</x:v>
      </x:c>
      <x:c r="G105" s="42" t="inlineStr">
        <x:is>
          <x:t xml:space="preserve">GenAI basics, LLM integration, RAG, chat UI, AI architecture and governance</x:t>
        </x:is>
      </x:c>
      <x:c r="H105" s="43" t="inlineStr">
        <x:is>
          <x:t xml:space="preserve">Weak-area DSA set 4</x:t>
        </x:is>
      </x:c>
      <x:c r="I105" s="43" t="inlineStr">
        <x:is>
          <x:t xml:space="preserve">Guardrails and output validation</x:t>
        </x:is>
      </x:c>
      <x:c r="J105" s="43" t="inlineStr">
        <x:is>
          <x:t xml:space="preserve">Auth/rate limits for AI features</x:t>
        </x:is>
      </x:c>
      <x:c r="K105" s="43" t="inlineStr">
        <x:is>
          <x:t xml:space="preserve">Citation UI patterns</x:t>
        </x:is>
      </x:c>
      <x:c r="L105" s="42" t="inlineStr">
        <x:is>
          <x:t xml:space="preserve">AI security and privacy</x:t>
        </x:is>
      </x:c>
      <x:c r="M105" s="42" t="inlineStr">
        <x:is>
          <x:t xml:space="preserve">Guardrails checklist</x:t>
        </x:is>
      </x:c>
      <x:c r="N105" s="44" t="inlineStr">
        <x:is>
          <x:t xml:space="preserve">Not Started</x:t>
        </x:is>
      </x:c>
      <x:c r="O105" s="45" t="n"/>
      <x:c r="P105" s="73">
        <x:f>IF(N105="Done",1,IF(N105="Review",0.75,IF(N105="In Progress",0.5,0)))</x:f>
        <x:v>0</x:v>
      </x:c>
      <x:c r="Q105" s="45" t="n"/>
      <x:c r="R105" s="47" t="n"/>
      <x:c r="S105" s="47" t="n"/>
      <x:c r="T105" s="48" t="n"/>
      <x:c r="U105" s="49">
        <x:f>IF(AND(N105&lt;&gt;"Done",N105&lt;&gt;"Skipped",E105&lt;&gt;"",TODAY()&gt;E105),"Overdue","")</x:f>
      </x:c>
      <x:c r="V105" s="74" t="n"/>
      <x:c r="W105" s="47" t="n"/>
    </x:row>
    <x:row r="106" s="11" customFormat="1" ht="34" customHeight="1">
      <x:c r="A106" s="41" t="n">
        <x:v>103</x:v>
      </x:c>
      <x:c r="B106" s="41" t="n">
        <x:v>15</x:v>
      </x:c>
      <x:c r="C106" s="41" t="inlineStr">
        <x:is>
          <x:t xml:space="preserve">Fri</x:t>
        </x:is>
      </x:c>
      <x:c r="D106" s="41" t="inlineStr">
        <x:is>
          <x:t xml:space="preserve">Weekday</x:t>
        </x:is>
      </x:c>
      <x:c r="E106" s="64">
        <x:f>IF(Dashboard!$B$5="","",Dashboard!$B$5+A106-1)</x:f>
        <x:v>46227</x:v>
      </x:c>
      <x:c r="F106" s="41" t="n">
        <x:v>5</x:v>
      </x:c>
      <x:c r="G106" s="42" t="inlineStr">
        <x:is>
          <x:t xml:space="preserve">GenAI basics, LLM integration, RAG, chat UI, AI architecture and governance</x:t>
        </x:is>
      </x:c>
      <x:c r="H106" s="43" t="inlineStr">
        <x:is>
          <x:t xml:space="preserve">Weak-area DSA set 5</x:t>
        </x:is>
      </x:c>
      <x:c r="I106" s="43" t="inlineStr">
        <x:is>
          <x:t xml:space="preserve">Evaluation of prompts/responses</x:t>
        </x:is>
      </x:c>
      <x:c r="J106" s="43" t="inlineStr">
        <x:is>
          <x:t xml:space="preserve">Latency and cost controls for AI</x:t>
        </x:is>
      </x:c>
      <x:c r="K106" s="43" t="inlineStr">
        <x:is>
          <x:t xml:space="preserve">Conversation memory patterns</x:t>
        </x:is>
      </x:c>
      <x:c r="L106" s="42" t="inlineStr">
        <x:is>
          <x:t xml:space="preserve">GenAI product trade-offs</x:t>
        </x:is>
      </x:c>
      <x:c r="M106" s="42" t="inlineStr">
        <x:is>
          <x:t xml:space="preserve">Evaluation rubric created</x:t>
        </x:is>
      </x:c>
      <x:c r="N106" s="44" t="inlineStr">
        <x:is>
          <x:t xml:space="preserve">Not Started</x:t>
        </x:is>
      </x:c>
      <x:c r="O106" s="45" t="n"/>
      <x:c r="P106" s="73">
        <x:f>IF(N106="Done",1,IF(N106="Review",0.75,IF(N106="In Progress",0.5,0)))</x:f>
        <x:v>0</x:v>
      </x:c>
      <x:c r="Q106" s="45" t="n"/>
      <x:c r="R106" s="47" t="n"/>
      <x:c r="S106" s="47" t="n"/>
      <x:c r="T106" s="48" t="n"/>
      <x:c r="U106" s="49">
        <x:f>IF(AND(N106&lt;&gt;"Done",N106&lt;&gt;"Skipped",E106&lt;&gt;"",TODAY()&gt;E106),"Overdue","")</x:f>
      </x:c>
      <x:c r="V106" s="74" t="n"/>
      <x:c r="W106" s="47" t="n"/>
    </x:row>
    <x:row r="107" s="11" customFormat="1" ht="34" customHeight="1">
      <x:c r="A107" s="41" t="n">
        <x:v>104</x:v>
      </x:c>
      <x:c r="B107" s="41" t="n">
        <x:v>15</x:v>
      </x:c>
      <x:c r="C107" s="41" t="inlineStr">
        <x:is>
          <x:t xml:space="preserve">Sat</x:t>
        </x:is>
      </x:c>
      <x:c r="D107" s="41" t="inlineStr">
        <x:is>
          <x:t xml:space="preserve">Weekend</x:t>
        </x:is>
      </x:c>
      <x:c r="E107" s="64">
        <x:f>IF(Dashboard!$B$5="","",Dashboard!$B$5+A107-1)</x:f>
        <x:v>46228</x:v>
      </x:c>
      <x:c r="F107" s="41" t="n">
        <x:v>8</x:v>
      </x:c>
      <x:c r="G107" s="42" t="inlineStr">
        <x:is>
          <x:t xml:space="preserve">GenAI basics, LLM integration, RAG, chat UI, AI architecture and governance</x:t>
        </x:is>
      </x:c>
      <x:c r="H107" s="43" t="inlineStr">
        <x:is>
          <x:t xml:space="preserve">Weekend build: RAG prototype</x:t>
        </x:is>
      </x:c>
      <x:c r="I107" s="43" t="inlineStr">
        <x:is>
          <x:t xml:space="preserve">Backend + retrieval integration</x:t>
        </x:is>
      </x:c>
      <x:c r="J107" s="43" t="inlineStr">
        <x:is>
          <x:t xml:space="preserve">Storage and async pipeline review</x:t>
        </x:is>
      </x:c>
      <x:c r="K107" s="43" t="inlineStr">
        <x:is>
          <x:t xml:space="preserve">Polish chat UX</x:t>
        </x:is>
      </x:c>
      <x:c r="L107" s="42" t="inlineStr">
        <x:is>
          <x:t xml:space="preserve">AI architecture review</x:t>
        </x:is>
      </x:c>
      <x:c r="M107" s="42" t="inlineStr">
        <x:is>
          <x:t xml:space="preserve">Milestone: GenAI slice</x:t>
        </x:is>
      </x:c>
      <x:c r="N107" s="44" t="inlineStr">
        <x:is>
          <x:t xml:space="preserve">Not Started</x:t>
        </x:is>
      </x:c>
      <x:c r="O107" s="45" t="n"/>
      <x:c r="P107" s="73">
        <x:f>IF(N107="Done",1,IF(N107="Review",0.75,IF(N107="In Progress",0.5,0)))</x:f>
        <x:v>0</x:v>
      </x:c>
      <x:c r="Q107" s="45" t="n"/>
      <x:c r="R107" s="47" t="n"/>
      <x:c r="S107" s="47" t="n"/>
      <x:c r="T107" s="48" t="n"/>
      <x:c r="U107" s="49">
        <x:f>IF(AND(N107&lt;&gt;"Done",N107&lt;&gt;"Skipped",E107&lt;&gt;"",TODAY()&gt;E107),"Overdue","")</x:f>
      </x:c>
      <x:c r="V107" s="74" t="n"/>
      <x:c r="W107" s="47" t="n"/>
    </x:row>
    <x:row r="108" s="11" customFormat="1" ht="34" customHeight="1">
      <x:c r="A108" s="41" t="n">
        <x:v>105</x:v>
      </x:c>
      <x:c r="B108" s="41" t="n">
        <x:v>15</x:v>
      </x:c>
      <x:c r="C108" s="41" t="inlineStr">
        <x:is>
          <x:t xml:space="preserve">Sun</x:t>
        </x:is>
      </x:c>
      <x:c r="D108" s="41" t="inlineStr">
        <x:is>
          <x:t xml:space="preserve">Weekend</x:t>
        </x:is>
      </x:c>
      <x:c r="E108" s="64">
        <x:f>IF(Dashboard!$B$5="","",Dashboard!$B$5+A108-1)</x:f>
        <x:v>46229</x:v>
      </x:c>
      <x:c r="F108" s="41" t="n">
        <x:v>8</x:v>
      </x:c>
      <x:c r="G108" s="42" t="inlineStr">
        <x:is>
          <x:t xml:space="preserve">GenAI basics, LLM integration, RAG, chat UI, AI architecture and governance</x:t>
        </x:is>
      </x:c>
      <x:c r="H108" s="43" t="inlineStr">
        <x:is>
          <x:t xml:space="preserve">Weekly review + risk list</x:t>
        </x:is>
      </x:c>
      <x:c r="I108" s="43" t="inlineStr">
        <x:is>
          <x:t xml:space="preserve">AI backend recap</x:t>
        </x:is>
      </x:c>
      <x:c r="J108" s="43" t="inlineStr">
        <x:is>
          <x:t xml:space="preserve">AWS recap</x:t>
        </x:is>
      </x:c>
      <x:c r="K108" s="43" t="inlineStr">
        <x:is>
          <x:t xml:space="preserve">UI recap</x:t>
        </x:is>
      </x:c>
      <x:c r="L108" s="42" t="inlineStr">
        <x:is>
          <x:t xml:space="preserve">Retrospective</x:t>
        </x:is>
      </x:c>
      <x:c r="M108" s="42" t="inlineStr">
        <x:is>
          <x:t xml:space="preserve">Update AI design notes</x:t>
        </x:is>
      </x:c>
      <x:c r="N108" s="44" t="inlineStr">
        <x:is>
          <x:t xml:space="preserve">Not Started</x:t>
        </x:is>
      </x:c>
      <x:c r="O108" s="45" t="n"/>
      <x:c r="P108" s="73">
        <x:f>IF(N108="Done",1,IF(N108="Review",0.75,IF(N108="In Progress",0.5,0)))</x:f>
        <x:v>0</x:v>
      </x:c>
      <x:c r="Q108" s="45" t="n"/>
      <x:c r="R108" s="47" t="n"/>
      <x:c r="S108" s="47" t="n"/>
      <x:c r="T108" s="48" t="n"/>
      <x:c r="U108" s="49">
        <x:f>IF(AND(N108&lt;&gt;"Done",N108&lt;&gt;"Skipped",E108&lt;&gt;"",TODAY()&gt;E108),"Overdue","")</x:f>
      </x:c>
      <x:c r="V108" s="74" t="n"/>
      <x:c r="W108" s="47" t="n"/>
    </x:row>
    <x:row r="109" s="11" customFormat="1" ht="34" customHeight="1">
      <x:c r="A109" s="41" t="n">
        <x:v>106</x:v>
      </x:c>
      <x:c r="B109" s="41" t="n">
        <x:v>16</x:v>
      </x:c>
      <x:c r="C109" s="41" t="inlineStr">
        <x:is>
          <x:t xml:space="preserve">Mon</x:t>
        </x:is>
      </x:c>
      <x:c r="D109" s="41" t="inlineStr">
        <x:is>
          <x:t xml:space="preserve">Weekday</x:t>
        </x:is>
      </x:c>
      <x:c r="E109" s="64">
        <x:f>IF(Dashboard!$B$5="","",Dashboard!$B$5+A109-1)</x:f>
        <x:v>46230</x:v>
      </x:c>
      <x:c r="F109" s="41" t="n">
        <x:v>5</x:v>
      </x:c>
      <x:c r="G109" s="42" t="inlineStr">
        <x:is>
          <x:t xml:space="preserve">Capstone planning and build sprint 1: domain model, auth, core services, routing, NFRs</x:t>
        </x:is>
      </x:c>
      <x:c r="H109" s="43" t="inlineStr">
        <x:is>
          <x:t xml:space="preserve">Timed DSA mock 1</x:t>
        </x:is>
      </x:c>
      <x:c r="I109" s="43" t="inlineStr">
        <x:is>
          <x:t xml:space="preserve">Capstone scope and domain model</x:t>
        </x:is>
      </x:c>
      <x:c r="J109" s="43" t="inlineStr">
        <x:is>
          <x:t xml:space="preserve">Choose AWS reference architecture</x:t>
        </x:is>
      </x:c>
      <x:c r="K109" s="43" t="inlineStr">
        <x:is>
          <x:t xml:space="preserve">App shell and route map</x:t>
        </x:is>
      </x:c>
      <x:c r="L109" s="42" t="inlineStr">
        <x:is>
          <x:t xml:space="preserve">NFRs and acceptance criteria</x:t>
        </x:is>
      </x:c>
      <x:c r="M109" s="42" t="inlineStr">
        <x:is>
          <x:t xml:space="preserve">Capstone backlog and architecture v1</x:t>
        </x:is>
      </x:c>
      <x:c r="N109" s="44" t="inlineStr">
        <x:is>
          <x:t xml:space="preserve">Not Started</x:t>
        </x:is>
      </x:c>
      <x:c r="O109" s="45" t="n"/>
      <x:c r="P109" s="73">
        <x:f>IF(N109="Done",1,IF(N109="Review",0.75,IF(N109="In Progress",0.5,0)))</x:f>
        <x:v>0</x:v>
      </x:c>
      <x:c r="Q109" s="45" t="n"/>
      <x:c r="R109" s="47" t="n"/>
      <x:c r="S109" s="47" t="n"/>
      <x:c r="T109" s="48" t="n"/>
      <x:c r="U109" s="49">
        <x:f>IF(AND(N109&lt;&gt;"Done",N109&lt;&gt;"Skipped",E109&lt;&gt;"",TODAY()&gt;E109),"Overdue","")</x:f>
      </x:c>
      <x:c r="V109" s="74" t="n"/>
      <x:c r="W109" s="47" t="n"/>
    </x:row>
    <x:row r="110" s="11" customFormat="1" ht="34" customHeight="1">
      <x:c r="A110" s="41" t="n">
        <x:v>107</x:v>
      </x:c>
      <x:c r="B110" s="41" t="n">
        <x:v>16</x:v>
      </x:c>
      <x:c r="C110" s="41" t="inlineStr">
        <x:is>
          <x:t xml:space="preserve">Tue</x:t>
        </x:is>
      </x:c>
      <x:c r="D110" s="41" t="inlineStr">
        <x:is>
          <x:t xml:space="preserve">Weekday</x:t>
        </x:is>
      </x:c>
      <x:c r="E110" s="64">
        <x:f>IF(Dashboard!$B$5="","",Dashboard!$B$5+A110-1)</x:f>
        <x:v>46231</x:v>
      </x:c>
      <x:c r="F110" s="41" t="n">
        <x:v>5</x:v>
      </x:c>
      <x:c r="G110" s="42" t="inlineStr">
        <x:is>
          <x:t xml:space="preserve">Capstone planning and build sprint 1: domain model, auth, core services, routing, NFRs</x:t>
        </x:is>
      </x:c>
      <x:c r="H110" s="43" t="inlineStr">
        <x:is>
          <x:t xml:space="preserve">DSA correction day</x:t>
        </x:is>
      </x:c>
      <x:c r="I110" s="43" t="inlineStr">
        <x:is>
          <x:t xml:space="preserve">Auth/user service</x:t>
        </x:is>
      </x:c>
      <x:c r="J110" s="43" t="inlineStr">
        <x:is>
          <x:t xml:space="preserve">Networking and IAM setup</x:t>
        </x:is>
      </x:c>
      <x:c r="K110" s="43" t="inlineStr">
        <x:is>
          <x:t xml:space="preserve">Layout and auth flow</x:t>
        </x:is>
      </x:c>
      <x:c r="L110" s="42" t="inlineStr">
        <x:is>
          <x:t xml:space="preserve">ADR 1</x:t>
        </x:is>
      </x:c>
      <x:c r="M110" s="42" t="inlineStr">
        <x:is>
          <x:t xml:space="preserve">Working auth skeleton</x:t>
        </x:is>
      </x:c>
      <x:c r="N110" s="44" t="inlineStr">
        <x:is>
          <x:t xml:space="preserve">Not Started</x:t>
        </x:is>
      </x:c>
      <x:c r="O110" s="45" t="n"/>
      <x:c r="P110" s="73">
        <x:f>IF(N110="Done",1,IF(N110="Review",0.75,IF(N110="In Progress",0.5,0)))</x:f>
        <x:v>0</x:v>
      </x:c>
      <x:c r="Q110" s="45" t="n"/>
      <x:c r="R110" s="47" t="n"/>
      <x:c r="S110" s="47" t="n"/>
      <x:c r="T110" s="48" t="n"/>
      <x:c r="U110" s="49">
        <x:f>IF(AND(N110&lt;&gt;"Done",N110&lt;&gt;"Skipped",E110&lt;&gt;"",TODAY()&gt;E110),"Overdue","")</x:f>
      </x:c>
      <x:c r="V110" s="74" t="n"/>
      <x:c r="W110" s="47" t="n"/>
    </x:row>
    <x:row r="111" s="11" customFormat="1" ht="34" customHeight="1">
      <x:c r="A111" s="41" t="n">
        <x:v>108</x:v>
      </x:c>
      <x:c r="B111" s="41" t="n">
        <x:v>16</x:v>
      </x:c>
      <x:c r="C111" s="41" t="inlineStr">
        <x:is>
          <x:t xml:space="preserve">Wed</x:t>
        </x:is>
      </x:c>
      <x:c r="D111" s="41" t="inlineStr">
        <x:is>
          <x:t xml:space="preserve">Weekday</x:t>
        </x:is>
      </x:c>
      <x:c r="E111" s="64">
        <x:f>IF(Dashboard!$B$5="","",Dashboard!$B$5+A111-1)</x:f>
        <x:v>46232</x:v>
      </x:c>
      <x:c r="F111" s="41" t="n">
        <x:v>5</x:v>
      </x:c>
      <x:c r="G111" s="42" t="inlineStr">
        <x:is>
          <x:t xml:space="preserve">Capstone planning and build sprint 1: domain model, auth, core services, routing, NFRs</x:t>
        </x:is>
      </x:c>
      <x:c r="H111" s="43" t="inlineStr">
        <x:is>
          <x:t xml:space="preserve">DSA weak-area review</x:t>
        </x:is>
      </x:c>
      <x:c r="I111" s="43" t="inlineStr">
        <x:is>
          <x:t xml:space="preserve">Core business service</x:t>
        </x:is>
      </x:c>
      <x:c r="J111" s="43" t="inlineStr">
        <x:is>
          <x:t xml:space="preserve">Database and storage setup</x:t>
        </x:is>
      </x:c>
      <x:c r="K111" s="43" t="inlineStr">
        <x:is>
          <x:t xml:space="preserve">API client and data flow</x:t>
        </x:is>
      </x:c>
      <x:c r="L111" s="42" t="inlineStr">
        <x:is>
          <x:t xml:space="preserve">ADR 2</x:t>
        </x:is>
      </x:c>
      <x:c r="M111" s="42" t="inlineStr">
        <x:is>
          <x:t xml:space="preserve">Core API running</x:t>
        </x:is>
      </x:c>
      <x:c r="N111" s="44" t="inlineStr">
        <x:is>
          <x:t xml:space="preserve">Not Started</x:t>
        </x:is>
      </x:c>
      <x:c r="O111" s="45" t="n"/>
      <x:c r="P111" s="73">
        <x:f>IF(N111="Done",1,IF(N111="Review",0.75,IF(N111="In Progress",0.5,0)))</x:f>
        <x:v>0</x:v>
      </x:c>
      <x:c r="Q111" s="45" t="n"/>
      <x:c r="R111" s="47" t="n"/>
      <x:c r="S111" s="47" t="n"/>
      <x:c r="T111" s="48" t="n"/>
      <x:c r="U111" s="49">
        <x:f>IF(AND(N111&lt;&gt;"Done",N111&lt;&gt;"Skipped",E111&lt;&gt;"",TODAY()&gt;E111),"Overdue","")</x:f>
      </x:c>
      <x:c r="V111" s="74" t="n"/>
      <x:c r="W111" s="47" t="n"/>
    </x:row>
    <x:row r="112" s="11" customFormat="1" ht="34" customHeight="1">
      <x:c r="A112" s="41" t="n">
        <x:v>109</x:v>
      </x:c>
      <x:c r="B112" s="41" t="n">
        <x:v>16</x:v>
      </x:c>
      <x:c r="C112" s="41" t="inlineStr">
        <x:is>
          <x:t xml:space="preserve">Thu</x:t>
        </x:is>
      </x:c>
      <x:c r="D112" s="41" t="inlineStr">
        <x:is>
          <x:t xml:space="preserve">Weekday</x:t>
        </x:is>
      </x:c>
      <x:c r="E112" s="64">
        <x:f>IF(Dashboard!$B$5="","",Dashboard!$B$5+A112-1)</x:f>
        <x:v>46233</x:v>
      </x:c>
      <x:c r="F112" s="41" t="n">
        <x:v>5</x:v>
      </x:c>
      <x:c r="G112" s="42" t="inlineStr">
        <x:is>
          <x:t xml:space="preserve">Capstone planning and build sprint 1: domain model, auth, core services, routing, NFRs</x:t>
        </x:is>
      </x:c>
      <x:c r="H112" s="43" t="inlineStr">
        <x:is>
          <x:t xml:space="preserve">DSA weak-area review</x:t>
        </x:is>
      </x:c>
      <x:c r="I112" s="43" t="inlineStr">
        <x:is>
          <x:t xml:space="preserve">Async/event service</x:t>
        </x:is>
      </x:c>
      <x:c r="J112" s="43" t="inlineStr">
        <x:is>
          <x:t xml:space="preserve">Queue/cache integration</x:t>
        </x:is>
      </x:c>
      <x:c r="K112" s="43" t="inlineStr">
        <x:is>
          <x:t xml:space="preserve">Feature pages build</x:t>
        </x:is>
      </x:c>
      <x:c r="L112" s="42" t="inlineStr">
        <x:is>
          <x:t xml:space="preserve">Test plan</x:t>
        </x:is>
      </x:c>
      <x:c r="M112" s="42" t="inlineStr">
        <x:is>
          <x:t xml:space="preserve">Async flow implemented</x:t>
        </x:is>
      </x:c>
      <x:c r="N112" s="44" t="inlineStr">
        <x:is>
          <x:t xml:space="preserve">Not Started</x:t>
        </x:is>
      </x:c>
      <x:c r="O112" s="45" t="n"/>
      <x:c r="P112" s="73">
        <x:f>IF(N112="Done",1,IF(N112="Review",0.75,IF(N112="In Progress",0.5,0)))</x:f>
        <x:v>0</x:v>
      </x:c>
      <x:c r="Q112" s="45" t="n"/>
      <x:c r="R112" s="47" t="n"/>
      <x:c r="S112" s="47" t="n"/>
      <x:c r="T112" s="48" t="n"/>
      <x:c r="U112" s="49">
        <x:f>IF(AND(N112&lt;&gt;"Done",N112&lt;&gt;"Skipped",E112&lt;&gt;"",TODAY()&gt;E112),"Overdue","")</x:f>
      </x:c>
      <x:c r="V112" s="74" t="n"/>
      <x:c r="W112" s="47" t="n"/>
    </x:row>
    <x:row r="113" s="11" customFormat="1" ht="34" customHeight="1">
      <x:c r="A113" s="41" t="n">
        <x:v>110</x:v>
      </x:c>
      <x:c r="B113" s="41" t="n">
        <x:v>16</x:v>
      </x:c>
      <x:c r="C113" s="41" t="inlineStr">
        <x:is>
          <x:t xml:space="preserve">Fri</x:t>
        </x:is>
      </x:c>
      <x:c r="D113" s="41" t="inlineStr">
        <x:is>
          <x:t xml:space="preserve">Weekday</x:t>
        </x:is>
      </x:c>
      <x:c r="E113" s="64">
        <x:f>IF(Dashboard!$B$5="","",Dashboard!$B$5+A113-1)</x:f>
        <x:v>46234</x:v>
      </x:c>
      <x:c r="F113" s="41" t="n">
        <x:v>5</x:v>
      </x:c>
      <x:c r="G113" s="42" t="inlineStr">
        <x:is>
          <x:t xml:space="preserve">Capstone planning and build sprint 1: domain model, auth, core services, routing, NFRs</x:t>
        </x:is>
      </x:c>
      <x:c r="H113" s="43" t="inlineStr">
        <x:is>
          <x:t xml:space="preserve">DSA weak-area review</x:t>
        </x:is>
      </x:c>
      <x:c r="I113" s="43" t="inlineStr">
        <x:is>
          <x:t xml:space="preserve">Integration tests for backend</x:t>
        </x:is>
      </x:c>
      <x:c r="J113" s="43" t="inlineStr">
        <x:is>
          <x:t xml:space="preserve">Monitoring and security baseline</x:t>
        </x:is>
      </x:c>
      <x:c r="K113" s="43" t="inlineStr">
        <x:is>
          <x:t xml:space="preserve">UX polish</x:t>
        </x:is>
      </x:c>
      <x:c r="L113" s="42" t="inlineStr">
        <x:is>
          <x:t xml:space="preserve">Deployment checklist</x:t>
        </x:is>
      </x:c>
      <x:c r="M113" s="42" t="inlineStr">
        <x:is>
          <x:t xml:space="preserve">Staging-ready baseline</x:t>
        </x:is>
      </x:c>
      <x:c r="N113" s="44" t="inlineStr">
        <x:is>
          <x:t xml:space="preserve">Not Started</x:t>
        </x:is>
      </x:c>
      <x:c r="O113" s="45" t="n"/>
      <x:c r="P113" s="73">
        <x:f>IF(N113="Done",1,IF(N113="Review",0.75,IF(N113="In Progress",0.5,0)))</x:f>
        <x:v>0</x:v>
      </x:c>
      <x:c r="Q113" s="45" t="n"/>
      <x:c r="R113" s="47" t="n"/>
      <x:c r="S113" s="47" t="n"/>
      <x:c r="T113" s="48" t="n"/>
      <x:c r="U113" s="49">
        <x:f>IF(AND(N113&lt;&gt;"Done",N113&lt;&gt;"Skipped",E113&lt;&gt;"",TODAY()&gt;E113),"Overdue","")</x:f>
      </x:c>
      <x:c r="V113" s="74" t="n"/>
      <x:c r="W113" s="47" t="n"/>
    </x:row>
    <x:row r="114" s="11" customFormat="1" ht="34" customHeight="1">
      <x:c r="A114" s="41" t="n">
        <x:v>111</x:v>
      </x:c>
      <x:c r="B114" s="41" t="n">
        <x:v>16</x:v>
      </x:c>
      <x:c r="C114" s="41" t="inlineStr">
        <x:is>
          <x:t xml:space="preserve">Sat</x:t>
        </x:is>
      </x:c>
      <x:c r="D114" s="41" t="inlineStr">
        <x:is>
          <x:t xml:space="preserve">Weekend</x:t>
        </x:is>
      </x:c>
      <x:c r="E114" s="64">
        <x:f>IF(Dashboard!$B$5="","",Dashboard!$B$5+A114-1)</x:f>
        <x:v>46235</x:v>
      </x:c>
      <x:c r="F114" s="41" t="n">
        <x:v>8</x:v>
      </x:c>
      <x:c r="G114" s="42" t="inlineStr">
        <x:is>
          <x:t xml:space="preserve">Capstone planning and build sprint 1: domain model, auth, core services, routing, NFRs</x:t>
        </x:is>
      </x:c>
      <x:c r="H114" s="43" t="inlineStr">
        <x:is>
          <x:t xml:space="preserve">Full mock + build sprint</x:t>
        </x:is>
      </x:c>
      <x:c r="I114" s="43" t="inlineStr">
        <x:is>
          <x:t xml:space="preserve">Capstone sprint day</x:t>
        </x:is>
      </x:c>
      <x:c r="J114" s="43" t="inlineStr">
        <x:is>
          <x:t xml:space="preserve">Deploy staging</x:t>
        </x:is>
      </x:c>
      <x:c r="K114" s="43" t="inlineStr">
        <x:is>
          <x:t xml:space="preserve">Hook up UI to APIs</x:t>
        </x:is>
      </x:c>
      <x:c r="L114" s="42" t="inlineStr">
        <x:is>
          <x:t xml:space="preserve">Architecture review</x:t>
        </x:is>
      </x:c>
      <x:c r="M114" s="42" t="inlineStr">
        <x:is>
          <x:t xml:space="preserve">Staging demo</x:t>
        </x:is>
      </x:c>
      <x:c r="N114" s="44" t="inlineStr">
        <x:is>
          <x:t xml:space="preserve">Not Started</x:t>
        </x:is>
      </x:c>
      <x:c r="O114" s="45" t="n"/>
      <x:c r="P114" s="73">
        <x:f>IF(N114="Done",1,IF(N114="Review",0.75,IF(N114="In Progress",0.5,0)))</x:f>
        <x:v>0</x:v>
      </x:c>
      <x:c r="Q114" s="45" t="n"/>
      <x:c r="R114" s="47" t="n"/>
      <x:c r="S114" s="47" t="n"/>
      <x:c r="T114" s="48" t="n"/>
      <x:c r="U114" s="49">
        <x:f>IF(AND(N114&lt;&gt;"Done",N114&lt;&gt;"Skipped",E114&lt;&gt;"",TODAY()&gt;E114),"Overdue","")</x:f>
      </x:c>
      <x:c r="V114" s="74" t="n"/>
      <x:c r="W114" s="47" t="n"/>
    </x:row>
    <x:row r="115" s="11" customFormat="1" ht="34" customHeight="1">
      <x:c r="A115" s="41" t="n">
        <x:v>112</x:v>
      </x:c>
      <x:c r="B115" s="41" t="n">
        <x:v>16</x:v>
      </x:c>
      <x:c r="C115" s="41" t="inlineStr">
        <x:is>
          <x:t xml:space="preserve">Sun</x:t>
        </x:is>
      </x:c>
      <x:c r="D115" s="41" t="inlineStr">
        <x:is>
          <x:t xml:space="preserve">Weekend</x:t>
        </x:is>
      </x:c>
      <x:c r="E115" s="64">
        <x:f>IF(Dashboard!$B$5="","",Dashboard!$B$5+A115-1)</x:f>
        <x:v>46236</x:v>
      </x:c>
      <x:c r="F115" s="41" t="n">
        <x:v>8</x:v>
      </x:c>
      <x:c r="G115" s="42" t="inlineStr">
        <x:is>
          <x:t xml:space="preserve">Capstone planning and build sprint 1: domain model, auth, core services, routing, NFRs</x:t>
        </x:is>
      </x:c>
      <x:c r="H115" s="43" t="inlineStr">
        <x:is>
          <x:t xml:space="preserve">Bug-fix and review</x:t>
        </x:is>
      </x:c>
      <x:c r="I115" s="43" t="inlineStr">
        <x:is>
          <x:t xml:space="preserve">Refactor core modules</x:t>
        </x:is>
      </x:c>
      <x:c r="J115" s="43" t="inlineStr">
        <x:is>
          <x:t xml:space="preserve">Cost review</x:t>
        </x:is>
      </x:c>
      <x:c r="K115" s="43" t="inlineStr">
        <x:is>
          <x:t xml:space="preserve">Refine UX</x:t>
        </x:is>
      </x:c>
      <x:c r="L115" s="42" t="inlineStr">
        <x:is>
          <x:t xml:space="preserve">Retrospective</x:t>
        </x:is>
      </x:c>
      <x:c r="M115" s="42" t="inlineStr">
        <x:is>
          <x:t xml:space="preserve">Update gap list</x:t>
        </x:is>
      </x:c>
      <x:c r="N115" s="44" t="inlineStr">
        <x:is>
          <x:t xml:space="preserve">Not Started</x:t>
        </x:is>
      </x:c>
      <x:c r="O115" s="45" t="n"/>
      <x:c r="P115" s="73">
        <x:f>IF(N115="Done",1,IF(N115="Review",0.75,IF(N115="In Progress",0.5,0)))</x:f>
        <x:v>0</x:v>
      </x:c>
      <x:c r="Q115" s="45" t="n"/>
      <x:c r="R115" s="47" t="n"/>
      <x:c r="S115" s="47" t="n"/>
      <x:c r="T115" s="48" t="n"/>
      <x:c r="U115" s="49">
        <x:f>IF(AND(N115&lt;&gt;"Done",N115&lt;&gt;"Skipped",E115&lt;&gt;"",TODAY()&gt;E115),"Overdue","")</x:f>
      </x:c>
      <x:c r="V115" s="74" t="n"/>
      <x:c r="W115" s="47" t="n"/>
    </x:row>
    <x:row r="116" s="11" customFormat="1" ht="34" customHeight="1">
      <x:c r="A116" s="41" t="n">
        <x:v>113</x:v>
      </x:c>
      <x:c r="B116" s="41" t="n">
        <x:v>17</x:v>
      </x:c>
      <x:c r="C116" s="41" t="inlineStr">
        <x:is>
          <x:t xml:space="preserve">Mon</x:t>
        </x:is>
      </x:c>
      <x:c r="D116" s="41" t="inlineStr">
        <x:is>
          <x:t xml:space="preserve">Weekday</x:t>
        </x:is>
      </x:c>
      <x:c r="E116" s="64">
        <x:f>IF(Dashboard!$B$5="","",Dashboard!$B$5+A116-1)</x:f>
        <x:v>46237</x:v>
      </x:c>
      <x:c r="F116" s="41" t="n">
        <x:v>5</x:v>
      </x:c>
      <x:c r="G116" s="42" t="inlineStr">
        <x:is>
          <x:t xml:space="preserve">Capstone sprint 2: optimization, security, DR, docs, presentation</x:t>
        </x:is>
      </x:c>
      <x:c r="H116" s="43" t="inlineStr">
        <x:is>
          <x:t xml:space="preserve">Timed DSA mock 2</x:t>
        </x:is>
      </x:c>
      <x:c r="I116" s="43" t="inlineStr">
        <x:is>
          <x:t xml:space="preserve">Optimize service hotspots</x:t>
        </x:is>
      </x:c>
      <x:c r="J116" s="43" t="inlineStr">
        <x:is>
          <x:t xml:space="preserve">Autoscaling and cost controls</x:t>
        </x:is>
      </x:c>
      <x:c r="K116" s="43" t="inlineStr">
        <x:is>
          <x:t xml:space="preserve">Frontend performance fixes</x:t>
        </x:is>
      </x:c>
      <x:c r="L116" s="42" t="inlineStr">
        <x:is>
          <x:t xml:space="preserve">Architecture diagram</x:t>
        </x:is>
      </x:c>
      <x:c r="M116" s="42" t="inlineStr">
        <x:is>
          <x:t xml:space="preserve">Perf baseline v2</x:t>
        </x:is>
      </x:c>
      <x:c r="N116" s="44" t="inlineStr">
        <x:is>
          <x:t xml:space="preserve">Not Started</x:t>
        </x:is>
      </x:c>
      <x:c r="O116" s="45" t="n"/>
      <x:c r="P116" s="73">
        <x:f>IF(N116="Done",1,IF(N116="Review",0.75,IF(N116="In Progress",0.5,0)))</x:f>
        <x:v>0</x:v>
      </x:c>
      <x:c r="Q116" s="45" t="n"/>
      <x:c r="R116" s="47" t="n"/>
      <x:c r="S116" s="47" t="n"/>
      <x:c r="T116" s="48" t="n"/>
      <x:c r="U116" s="49">
        <x:f>IF(AND(N116&lt;&gt;"Done",N116&lt;&gt;"Skipped",E116&lt;&gt;"",TODAY()&gt;E116),"Overdue","")</x:f>
      </x:c>
      <x:c r="V116" s="74" t="n"/>
      <x:c r="W116" s="47" t="n"/>
    </x:row>
    <x:row r="117" s="11" customFormat="1" ht="34" customHeight="1">
      <x:c r="A117" s="41" t="n">
        <x:v>114</x:v>
      </x:c>
      <x:c r="B117" s="41" t="n">
        <x:v>17</x:v>
      </x:c>
      <x:c r="C117" s="41" t="inlineStr">
        <x:is>
          <x:t xml:space="preserve">Tue</x:t>
        </x:is>
      </x:c>
      <x:c r="D117" s="41" t="inlineStr">
        <x:is>
          <x:t xml:space="preserve">Weekday</x:t>
        </x:is>
      </x:c>
      <x:c r="E117" s="64">
        <x:f>IF(Dashboard!$B$5="","",Dashboard!$B$5+A117-1)</x:f>
        <x:v>46238</x:v>
      </x:c>
      <x:c r="F117" s="41" t="n">
        <x:v>5</x:v>
      </x:c>
      <x:c r="G117" s="42" t="inlineStr">
        <x:is>
          <x:t xml:space="preserve">Capstone sprint 2: optimization, security, DR, docs, presentation</x:t>
        </x:is>
      </x:c>
      <x:c r="H117" s="43" t="inlineStr">
        <x:is>
          <x:t xml:space="preserve">Timed DSA mock 3</x:t>
        </x:is>
      </x:c>
      <x:c r="I117" s="43" t="inlineStr">
        <x:is>
          <x:t xml:space="preserve">Security hardening</x:t>
        </x:is>
      </x:c>
      <x:c r="J117" s="43" t="inlineStr">
        <x:is>
          <x:t xml:space="preserve">CloudFront/WAF/Route53 if relevant</x:t>
        </x:is>
      </x:c>
      <x:c r="K117" s="43" t="inlineStr">
        <x:is>
          <x:t xml:space="preserve">Frontend tests</x:t>
        </x:is>
      </x:c>
      <x:c r="L117" s="42" t="inlineStr">
        <x:is>
          <x:t xml:space="preserve">Runbook</x:t>
        </x:is>
      </x:c>
      <x:c r="M117" s="42" t="inlineStr">
        <x:is>
          <x:t xml:space="preserve">Security checklist pass</x:t>
        </x:is>
      </x:c>
      <x:c r="N117" s="44" t="inlineStr">
        <x:is>
          <x:t xml:space="preserve">Not Started</x:t>
        </x:is>
      </x:c>
      <x:c r="O117" s="45" t="n"/>
      <x:c r="P117" s="73">
        <x:f>IF(N117="Done",1,IF(N117="Review",0.75,IF(N117="In Progress",0.5,0)))</x:f>
        <x:v>0</x:v>
      </x:c>
      <x:c r="Q117" s="45" t="n"/>
      <x:c r="R117" s="47" t="n"/>
      <x:c r="S117" s="47" t="n"/>
      <x:c r="T117" s="48" t="n"/>
      <x:c r="U117" s="49">
        <x:f>IF(AND(N117&lt;&gt;"Done",N117&lt;&gt;"Skipped",E117&lt;&gt;"",TODAY()&gt;E117),"Overdue","")</x:f>
      </x:c>
      <x:c r="V117" s="74" t="n"/>
      <x:c r="W117" s="47" t="n"/>
    </x:row>
    <x:row r="118" s="11" customFormat="1" ht="34" customHeight="1">
      <x:c r="A118" s="41" t="n">
        <x:v>115</x:v>
      </x:c>
      <x:c r="B118" s="41" t="n">
        <x:v>17</x:v>
      </x:c>
      <x:c r="C118" s="41" t="inlineStr">
        <x:is>
          <x:t xml:space="preserve">Wed</x:t>
        </x:is>
      </x:c>
      <x:c r="D118" s="41" t="inlineStr">
        <x:is>
          <x:t xml:space="preserve">Weekday</x:t>
        </x:is>
      </x:c>
      <x:c r="E118" s="64">
        <x:f>IF(Dashboard!$B$5="","",Dashboard!$B$5+A118-1)</x:f>
        <x:v>46239</x:v>
      </x:c>
      <x:c r="F118" s="41" t="n">
        <x:v>5</x:v>
      </x:c>
      <x:c r="G118" s="42" t="inlineStr">
        <x:is>
          <x:t xml:space="preserve">Capstone sprint 2: optimization, security, DR, docs, presentation</x:t>
        </x:is>
      </x:c>
      <x:c r="H118" s="43" t="inlineStr">
        <x:is>
          <x:t xml:space="preserve">Timed DSA mock 4</x:t>
        </x:is>
      </x:c>
      <x:c r="I118" s="43" t="inlineStr">
        <x:is>
          <x:t xml:space="preserve">Failure handling and retries</x:t>
        </x:is>
      </x:c>
      <x:c r="J118" s="43" t="inlineStr">
        <x:is>
          <x:t xml:space="preserve">Backups and DR review</x:t>
        </x:is>
      </x:c>
      <x:c r="K118" s="43" t="inlineStr">
        <x:is>
          <x:t xml:space="preserve">Accessibility fixes</x:t>
        </x:is>
      </x:c>
      <x:c r="L118" s="42" t="inlineStr">
        <x:is>
          <x:t xml:space="preserve">Incident scenarios</x:t>
        </x:is>
      </x:c>
      <x:c r="M118" s="42" t="inlineStr">
        <x:is>
          <x:t xml:space="preserve">DR notes finalized</x:t>
        </x:is>
      </x:c>
      <x:c r="N118" s="44" t="inlineStr">
        <x:is>
          <x:t xml:space="preserve">Not Started</x:t>
        </x:is>
      </x:c>
      <x:c r="O118" s="45" t="n"/>
      <x:c r="P118" s="73">
        <x:f>IF(N118="Done",1,IF(N118="Review",0.75,IF(N118="In Progress",0.5,0)))</x:f>
        <x:v>0</x:v>
      </x:c>
      <x:c r="Q118" s="45" t="n"/>
      <x:c r="R118" s="47" t="n"/>
      <x:c r="S118" s="47" t="n"/>
      <x:c r="T118" s="48" t="n"/>
      <x:c r="U118" s="49">
        <x:f>IF(AND(N118&lt;&gt;"Done",N118&lt;&gt;"Skipped",E118&lt;&gt;"",TODAY()&gt;E118),"Overdue","")</x:f>
      </x:c>
      <x:c r="V118" s="74" t="n"/>
      <x:c r="W118" s="47" t="n"/>
    </x:row>
    <x:row r="119" s="11" customFormat="1" ht="34" customHeight="1">
      <x:c r="A119" s="41" t="n">
        <x:v>116</x:v>
      </x:c>
      <x:c r="B119" s="41" t="n">
        <x:v>17</x:v>
      </x:c>
      <x:c r="C119" s="41" t="inlineStr">
        <x:is>
          <x:t xml:space="preserve">Thu</x:t>
        </x:is>
      </x:c>
      <x:c r="D119" s="41" t="inlineStr">
        <x:is>
          <x:t xml:space="preserve">Weekday</x:t>
        </x:is>
      </x:c>
      <x:c r="E119" s="64">
        <x:f>IF(Dashboard!$B$5="","",Dashboard!$B$5+A119-1)</x:f>
        <x:v>46240</x:v>
      </x:c>
      <x:c r="F119" s="41" t="n">
        <x:v>5</x:v>
      </x:c>
      <x:c r="G119" s="42" t="inlineStr">
        <x:is>
          <x:t xml:space="preserve">Capstone sprint 2: optimization, security, DR, docs, presentation</x:t>
        </x:is>
      </x:c>
      <x:c r="H119" s="43" t="inlineStr">
        <x:is>
          <x:t xml:space="preserve">Timed DSA mock 5</x:t>
        </x:is>
      </x:c>
      <x:c r="I119" s="43" t="inlineStr">
        <x:is>
          <x:t xml:space="preserve">Final code cleanup</x:t>
        </x:is>
      </x:c>
      <x:c r="J119" s="43" t="inlineStr">
        <x:is>
          <x:t xml:space="preserve">CI/CD hardening</x:t>
        </x:is>
      </x:c>
      <x:c r="K119" s="43" t="inlineStr">
        <x:is>
          <x:t xml:space="preserve">Final production build</x:t>
        </x:is>
      </x:c>
      <x:c r="L119" s="42" t="inlineStr">
        <x:is>
          <x:t xml:space="preserve">Presentation draft</x:t>
        </x:is>
      </x:c>
      <x:c r="M119" s="42" t="inlineStr">
        <x:is>
          <x:t xml:space="preserve">Release candidate</x:t>
        </x:is>
      </x:c>
      <x:c r="N119" s="44" t="inlineStr">
        <x:is>
          <x:t xml:space="preserve">Not Started</x:t>
        </x:is>
      </x:c>
      <x:c r="O119" s="45" t="n"/>
      <x:c r="P119" s="73">
        <x:f>IF(N119="Done",1,IF(N119="Review",0.75,IF(N119="In Progress",0.5,0)))</x:f>
        <x:v>0</x:v>
      </x:c>
      <x:c r="Q119" s="45" t="n"/>
      <x:c r="R119" s="47" t="n"/>
      <x:c r="S119" s="47" t="n"/>
      <x:c r="T119" s="48" t="n"/>
      <x:c r="U119" s="49">
        <x:f>IF(AND(N119&lt;&gt;"Done",N119&lt;&gt;"Skipped",E119&lt;&gt;"",TODAY()&gt;E119),"Overdue","")</x:f>
      </x:c>
      <x:c r="V119" s="74" t="n"/>
      <x:c r="W119" s="47" t="n"/>
    </x:row>
    <x:row r="120" s="11" customFormat="1" ht="34" customHeight="1">
      <x:c r="A120" s="41" t="n">
        <x:v>117</x:v>
      </x:c>
      <x:c r="B120" s="41" t="n">
        <x:v>17</x:v>
      </x:c>
      <x:c r="C120" s="41" t="inlineStr">
        <x:is>
          <x:t xml:space="preserve">Fri</x:t>
        </x:is>
      </x:c>
      <x:c r="D120" s="41" t="inlineStr">
        <x:is>
          <x:t xml:space="preserve">Weekday</x:t>
        </x:is>
      </x:c>
      <x:c r="E120" s="64">
        <x:f>IF(Dashboard!$B$5="","",Dashboard!$B$5+A120-1)</x:f>
        <x:v>46241</x:v>
      </x:c>
      <x:c r="F120" s="41" t="n">
        <x:v>5</x:v>
      </x:c>
      <x:c r="G120" s="42" t="inlineStr">
        <x:is>
          <x:t xml:space="preserve">Capstone sprint 2: optimization, security, DR, docs, presentation</x:t>
        </x:is>
      </x:c>
      <x:c r="H120" s="43" t="inlineStr">
        <x:is>
          <x:t xml:space="preserve">Timed DSA mock 6</x:t>
        </x:is>
      </x:c>
      <x:c r="I120" s="43" t="inlineStr">
        <x:is>
          <x:t xml:space="preserve">Mock architect presentation</x:t>
        </x:is>
      </x:c>
      <x:c r="J120" s="43" t="inlineStr">
        <x:is>
          <x:t xml:space="preserve">Final Well-Architected review</x:t>
        </x:is>
      </x:c>
      <x:c r="K120" s="43" t="inlineStr">
        <x:is>
          <x:t xml:space="preserve">Metrics dashboard</x:t>
        </x:is>
      </x:c>
      <x:c r="L120" s="42" t="inlineStr">
        <x:is>
          <x:t xml:space="preserve">Resume bullets and portfolio notes</x:t>
        </x:is>
      </x:c>
      <x:c r="M120" s="42" t="inlineStr">
        <x:is>
          <x:t xml:space="preserve">Presentation rehearsal</x:t>
        </x:is>
      </x:c>
      <x:c r="N120" s="44" t="inlineStr">
        <x:is>
          <x:t xml:space="preserve">Not Started</x:t>
        </x:is>
      </x:c>
      <x:c r="O120" s="45" t="n"/>
      <x:c r="P120" s="73">
        <x:f>IF(N120="Done",1,IF(N120="Review",0.75,IF(N120="In Progress",0.5,0)))</x:f>
        <x:v>0</x:v>
      </x:c>
      <x:c r="Q120" s="45" t="n"/>
      <x:c r="R120" s="47" t="n"/>
      <x:c r="S120" s="47" t="n"/>
      <x:c r="T120" s="48" t="n"/>
      <x:c r="U120" s="49">
        <x:f>IF(AND(N120&lt;&gt;"Done",N120&lt;&gt;"Skipped",E120&lt;&gt;"",TODAY()&gt;E120),"Overdue","")</x:f>
      </x:c>
      <x:c r="V120" s="74" t="n"/>
      <x:c r="W120" s="47" t="n"/>
    </x:row>
    <x:row r="121" s="11" customFormat="1" ht="34" customHeight="1">
      <x:c r="A121" s="41" t="n">
        <x:v>118</x:v>
      </x:c>
      <x:c r="B121" s="41" t="n">
        <x:v>17</x:v>
      </x:c>
      <x:c r="C121" s="41" t="inlineStr">
        <x:is>
          <x:t xml:space="preserve">Sat</x:t>
        </x:is>
      </x:c>
      <x:c r="D121" s="41" t="inlineStr">
        <x:is>
          <x:t xml:space="preserve">Weekend</x:t>
        </x:is>
      </x:c>
      <x:c r="E121" s="64">
        <x:f>IF(Dashboard!$B$5="","",Dashboard!$B$5+A121-1)</x:f>
        <x:v>46242</x:v>
      </x:c>
      <x:c r="F121" s="41" t="n">
        <x:v>8</x:v>
      </x:c>
      <x:c r="G121" s="42" t="inlineStr">
        <x:is>
          <x:t xml:space="preserve">Capstone sprint 2: optimization, security, DR, docs, presentation</x:t>
        </x:is>
      </x:c>
      <x:c r="H121" s="43" t="inlineStr">
        <x:is>
          <x:t xml:space="preserve">Weekend end-to-end demo</x:t>
        </x:is>
      </x:c>
      <x:c r="I121" s="43" t="inlineStr">
        <x:is>
          <x:t xml:space="preserve">Capstone polish and bugfix</x:t>
        </x:is>
      </x:c>
      <x:c r="J121" s="43" t="inlineStr">
        <x:is>
          <x:t xml:space="preserve">Deployment validation</x:t>
        </x:is>
      </x:c>
      <x:c r="K121" s="43" t="inlineStr">
        <x:is>
          <x:t xml:space="preserve">UX polish and docs</x:t>
        </x:is>
      </x:c>
      <x:c r="L121" s="42" t="inlineStr">
        <x:is>
          <x:t xml:space="preserve">Stakeholder-style Q&amp;A</x:t>
        </x:is>
      </x:c>
      <x:c r="M121" s="42" t="inlineStr">
        <x:is>
          <x:t xml:space="preserve">Milestone: end-to-end solution</x:t>
        </x:is>
      </x:c>
      <x:c r="N121" s="44" t="inlineStr">
        <x:is>
          <x:t xml:space="preserve">Not Started</x:t>
        </x:is>
      </x:c>
      <x:c r="O121" s="45" t="n"/>
      <x:c r="P121" s="73">
        <x:f>IF(N121="Done",1,IF(N121="Review",0.75,IF(N121="In Progress",0.5,0)))</x:f>
        <x:v>0</x:v>
      </x:c>
      <x:c r="Q121" s="45" t="n"/>
      <x:c r="R121" s="47" t="n"/>
      <x:c r="S121" s="47" t="n"/>
      <x:c r="T121" s="48" t="n"/>
      <x:c r="U121" s="49">
        <x:f>IF(AND(N121&lt;&gt;"Done",N121&lt;&gt;"Skipped",E121&lt;&gt;"",TODAY()&gt;E121),"Overdue","")</x:f>
      </x:c>
      <x:c r="V121" s="74" t="n"/>
      <x:c r="W121" s="47" t="n"/>
    </x:row>
    <x:row r="122" s="11" customFormat="1" ht="34" customHeight="1">
      <x:c r="A122" s="41" t="n">
        <x:v>119</x:v>
      </x:c>
      <x:c r="B122" s="41" t="n">
        <x:v>17</x:v>
      </x:c>
      <x:c r="C122" s="41" t="inlineStr">
        <x:is>
          <x:t xml:space="preserve">Sun</x:t>
        </x:is>
      </x:c>
      <x:c r="D122" s="41" t="inlineStr">
        <x:is>
          <x:t xml:space="preserve">Weekend</x:t>
        </x:is>
      </x:c>
      <x:c r="E122" s="64">
        <x:f>IF(Dashboard!$B$5="","",Dashboard!$B$5+A122-1)</x:f>
        <x:v>46243</x:v>
      </x:c>
      <x:c r="F122" s="41" t="n">
        <x:v>8</x:v>
      </x:c>
      <x:c r="G122" s="42" t="inlineStr">
        <x:is>
          <x:t xml:space="preserve">Capstone sprint 2: optimization, security, DR, docs, presentation</x:t>
        </x:is>
      </x:c>
      <x:c r="H122" s="43" t="inlineStr">
        <x:is>
          <x:t xml:space="preserve">Final week retrospective</x:t>
        </x:is>
      </x:c>
      <x:c r="I122" s="43" t="inlineStr">
        <x:is>
          <x:t xml:space="preserve">Gap closure</x:t>
        </x:is>
      </x:c>
      <x:c r="J122" s="43" t="inlineStr">
        <x:is>
          <x:t xml:space="preserve">Ops checklist</x:t>
        </x:is>
      </x:c>
      <x:c r="K122" s="43" t="inlineStr">
        <x:is>
          <x:t xml:space="preserve">UI checklist</x:t>
        </x:is>
      </x:c>
      <x:c r="L122" s="42" t="inlineStr">
        <x:is>
          <x:t xml:space="preserve">Retrospective</x:t>
        </x:is>
      </x:c>
      <x:c r="M122" s="42" t="inlineStr">
        <x:is>
          <x:t xml:space="preserve">Prepare final assessment</x:t>
        </x:is>
      </x:c>
      <x:c r="N122" s="44" t="inlineStr">
        <x:is>
          <x:t xml:space="preserve">Not Started</x:t>
        </x:is>
      </x:c>
      <x:c r="O122" s="45" t="n"/>
      <x:c r="P122" s="73">
        <x:f>IF(N122="Done",1,IF(N122="Review",0.75,IF(N122="In Progress",0.5,0)))</x:f>
        <x:v>0</x:v>
      </x:c>
      <x:c r="Q122" s="45" t="n"/>
      <x:c r="R122" s="47" t="n"/>
      <x:c r="S122" s="47" t="n"/>
      <x:c r="T122" s="48" t="n"/>
      <x:c r="U122" s="49">
        <x:f>IF(AND(N122&lt;&gt;"Done",N122&lt;&gt;"Skipped",E122&lt;&gt;"",TODAY()&gt;E122),"Overdue","")</x:f>
      </x:c>
      <x:c r="V122" s="74" t="n"/>
      <x:c r="W122" s="47" t="n"/>
    </x:row>
    <x:row r="123" s="11" customFormat="1" ht="34" customHeight="1">
      <x:c r="A123" s="41" t="n">
        <x:v>120</x:v>
      </x:c>
      <x:c r="B123" s="41" t="n">
        <x:v>18</x:v>
      </x:c>
      <x:c r="C123" s="41" t="inlineStr">
        <x:is>
          <x:t xml:space="preserve">Mon</x:t>
        </x:is>
      </x:c>
      <x:c r="D123" s="41" t="inlineStr">
        <x:is>
          <x:t xml:space="preserve">Weekday</x:t>
        </x:is>
      </x:c>
      <x:c r="E123" s="64">
        <x:f>IF(Dashboard!$B$5="","",Dashboard!$B$5+A123-1)</x:f>
        <x:v>46244</x:v>
      </x:c>
      <x:c r="F123" s="41" t="n">
        <x:v>5</x:v>
      </x:c>
      <x:c r="G123" s="42" t="inlineStr">
        <x:is>
          <x:t xml:space="preserve">Final consolidation and architect presentation</x:t>
        </x:is>
      </x:c>
      <x:c r="H123" s="43" t="inlineStr">
        <x:is>
          <x:t xml:space="preserve">Final DSA mock + pattern sheet</x:t>
        </x:is>
      </x:c>
      <x:c r="I123" s="43" t="inlineStr">
        <x:is>
          <x:t xml:space="preserve">Java/Spring final recap and interview notes</x:t>
        </x:is>
      </x:c>
      <x:c r="J123" s="43" t="inlineStr">
        <x:is>
          <x:t xml:space="preserve">AWS SAA-style domain review + Well-Architected review</x:t>
        </x:is>
      </x:c>
      <x:c r="K123" s="43" t="inlineStr">
        <x:is>
          <x:t xml:space="preserve">React/frontend architecture final recap</x:t>
        </x:is>
      </x:c>
      <x:c r="L123" s="42" t="inlineStr">
        <x:is>
          <x:t xml:space="preserve">Final solution-architect presentation + next 90-day plan</x:t>
        </x:is>
      </x:c>
      <x:c r="M123" s="42" t="inlineStr">
        <x:is>
          <x:t xml:space="preserve">Record what to continue after Day 120</x:t>
        </x:is>
      </x:c>
      <x:c r="N123" s="44" t="inlineStr">
        <x:is>
          <x:t xml:space="preserve">Not Started</x:t>
        </x:is>
      </x:c>
      <x:c r="O123" s="45" t="n"/>
      <x:c r="P123" s="73">
        <x:f>IF(N123="Done",1,IF(N123="Review",0.75,IF(N123="In Progress",0.5,0)))</x:f>
        <x:v>0</x:v>
      </x:c>
      <x:c r="Q123" s="45" t="n"/>
      <x:c r="R123" s="47" t="n"/>
      <x:c r="S123" s="47" t="n"/>
      <x:c r="T123" s="48" t="n"/>
      <x:c r="U123" s="49">
        <x:f>IF(AND(N123&lt;&gt;"Done",N123&lt;&gt;"Skipped",E123&lt;&gt;"",TODAY()&gt;E123),"Overdue","")</x:f>
      </x:c>
      <x:c r="V123" s="74" t="n"/>
      <x:c r="W123" s="47" t="n"/>
    </x:row>
  </x:sheetData>
  <x:mergeCells>
    <x:mergeCell ref="A2:W2"/>
    <x:mergeCell ref="A1:W1"/>
  </x:mergeCells>
  <x:conditionalFormatting sqref="N4:N123">
    <x:cfRule type="expression" dxfId="0" priority="1">
      <x:formula>$N4="Done"</x:formula>
    </x:cfRule>
    <x:cfRule type="expression" dxfId="1" priority="2">
      <x:formula>$N4="In Progress"</x:formula>
    </x:cfRule>
    <x:cfRule type="expression" dxfId="2" priority="3">
      <x:formula>$N4="Blocked"</x:formula>
    </x:cfRule>
  </x:conditionalFormatting>
  <x:conditionalFormatting sqref="U4:U123">
    <x:cfRule type="expression" dxfId="2" priority="4">
      <x:formula>$U4="Overdue"</x:formula>
    </x:cfRule>
  </x:conditionalFormatting>
  <x:conditionalFormatting sqref="P4:P123">
    <x:cfRule type="dataBar" priority="5">
      <x:dataBar>
        <x:cfvo type="num" val="0"/>
        <x:cfvo type="num" val="1"/>
        <x:color rgb="005B9BD5"/>
      </x:dataBar>
    </x:cfRule>
  </x:conditionalFormatting>
  <x:conditionalFormatting sqref="Q4:Q123">
    <x:cfRule type="colorScale" priority="6">
      <x:colorScale>
        <x:cfvo type="num" val="1"/>
        <x:cfvo type="num" val="3"/>
        <x:cfvo type="num" val="5"/>
        <x:color rgb="00F8696B"/>
        <x:color rgb="00FFEB84"/>
        <x:color rgb="0063BE7B"/>
      </x:colorScale>
    </x:cfRule>
  </x:conditionalFormatting>
  <x:dataValidations count="3">
    <x:dataValidation type="list" allowBlank="1" showDropDown="0" showInputMessage="0" showErrorMessage="0" sqref="N4:N123">
      <x:formula1>=Lists!$A$1:$A$6</x:formula1>
    </x:dataValidation>
    <x:dataValidation type="list" allowBlank="1" showDropDown="0" showInputMessage="0" showErrorMessage="0" sqref="Q4:Q123">
      <x:formula1>=Lists!$B$1:$B$5</x:formula1>
    </x:dataValidation>
    <x:dataValidation type="list" allowBlank="1" showDropDown="0" showInputMessage="0" showErrorMessage="0" sqref="R4:R123">
      <x:formula1>=Lists!$D$1:$D$3</x:formula1>
    </x:dataValidation>
  </x:dataValidations>
  <x:pageMargins left="0.7" right="0.7" top="0.75" bottom="0.75" header="0.3" footer="0.3"/>
  <x:legacyDrawing xmlns:r="http://schemas.openxmlformats.org/officeDocument/2006/relationships" r:id="R4e509d416ace4f2b"/>
  <x:tableParts count="1">
    <x:tablePart xmlns:r="http://schemas.openxmlformats.org/officeDocument/2006/relationships" r:id="R6b0639312df84e39"/>
  </x:tableParts>
</x:worksheet>
</file>

<file path=xl/worksheets/sheet3.xml><?xml version="1.0" encoding="utf-8"?>
<x:worksheet xmlns:x="http://schemas.openxmlformats.org/spreadsheetml/2006/main">
  <x:sheetPr>
    <x:tabColor rgb="008064A2"/>
  </x:sheetPr>
  <x:sheetViews>
    <x:sheetView showGridLines="0" workbookViewId="0"/>
  </x:sheetViews>
  <x:sheetFormatPr baseColWidth="8" defaultRowHeight="15"/>
  <x:cols>
    <x:col min="1" max="1" width="6" style="11" customWidth="1"/>
    <x:col min="2" max="2" width="10" style="11" customWidth="1"/>
    <x:col min="3" max="3" width="20" style="11" customWidth="1"/>
    <x:col min="4" max="4" width="30" style="11" customWidth="1"/>
    <x:col min="5" max="5" width="12" style="11" customWidth="1"/>
    <x:col min="6" max="6" width="12" style="11" customWidth="1"/>
    <x:col min="7" max="7" width="12" style="11" customWidth="1"/>
    <x:col min="8" max="8" width="10" style="11" customWidth="1"/>
    <x:col min="9" max="9" width="12" style="11" customWidth="1"/>
    <x:col min="10" max="10" width="14" style="11" customWidth="1"/>
    <x:col min="11" max="11" width="12" style="11" customWidth="1"/>
    <x:col min="12" max="12" width="14" style="11" customWidth="1"/>
    <x:col min="13" max="13" width="34" style="11" customWidth="1"/>
    <x:col min="14" max="14" width="24" style="11" customWidth="1"/>
    <x:col min="15" max="15" width="20" style="11" customWidth="1"/>
    <x:col min="16" max="16" width="20" style="11" customWidth="1"/>
  </x:cols>
  <x:sheetData>
    <x:row r="1" s="11" customFormat="1" ht="24" customHeight="1">
      <x:c r="A1" s="12" t="inlineStr">
        <x:is>
          <x:t xml:space="preserve">Weekly Scorecard</x:t>
        </x:is>
      </x:c>
      <x:c r="B1" s="61" t="n"/>
      <x:c r="C1" s="61" t="n"/>
      <x:c r="D1" s="61" t="n"/>
      <x:c r="E1" s="61" t="n"/>
      <x:c r="F1" s="61" t="n"/>
      <x:c r="G1" s="61" t="n"/>
      <x:c r="H1" s="61" t="n"/>
      <x:c r="I1" s="61" t="n"/>
      <x:c r="J1" s="61" t="n"/>
      <x:c r="K1" s="61" t="n"/>
      <x:c r="L1" s="61" t="n"/>
      <x:c r="M1" s="61" t="n"/>
      <x:c r="N1" s="61" t="n"/>
      <x:c r="O1" s="61" t="n"/>
      <x:c r="P1" s="62" t="n"/>
    </x:row>
    <x:row r="2" s="11" customFormat="1" ht="24" customHeight="1">
      <x:c r="A2" s="40" t="inlineStr">
        <x:is>
          <x:t xml:space="preserve">Fill columns N:P every weekend. Everything else rolls up from the 120-Day Tracker.</x:t>
        </x:is>
      </x:c>
    </x:row>
    <x:row r="3" s="11" customFormat="1" ht="34" customHeight="1">
      <x:c r="A3" s="27" t="inlineStr">
        <x:is>
          <x:t xml:space="preserve">Week</x:t>
        </x:is>
      </x:c>
      <x:c r="B3" s="27" t="inlineStr">
        <x:is>
          <x:t xml:space="preserve">Day Range</x:t>
        </x:is>
      </x:c>
      <x:c r="C3" s="27" t="inlineStr">
        <x:is>
          <x:t xml:space="preserve">Phase</x:t>
        </x:is>
      </x:c>
      <x:c r="D3" s="27" t="inlineStr">
        <x:is>
          <x:t xml:space="preserve">Theme</x:t>
        </x:is>
      </x:c>
      <x:c r="E3" s="27" t="inlineStr">
        <x:is>
          <x:t xml:space="preserve">Planned Hours</x:t>
        </x:is>
      </x:c>
      <x:c r="F3" s="27" t="inlineStr">
        <x:is>
          <x:t xml:space="preserve">Actual Hours</x:t>
        </x:is>
      </x:c>
      <x:c r="G3" s="27" t="inlineStr">
        <x:is>
          <x:t xml:space="preserve">Days Planned</x:t>
        </x:is>
      </x:c>
      <x:c r="H3" s="27" t="inlineStr">
        <x:is>
          <x:t xml:space="preserve">Days Done</x:t>
        </x:is>
      </x:c>
      <x:c r="I3" s="27" t="inlineStr">
        <x:is>
          <x:t xml:space="preserve">Completion %</x:t>
        </x:is>
      </x:c>
      <x:c r="J3" s="27" t="inlineStr">
        <x:is>
          <x:t xml:space="preserve">Avg Confidence</x:t>
        </x:is>
      </x:c>
      <x:c r="K3" s="27" t="inlineStr">
        <x:is>
          <x:t xml:space="preserve">Overdue Days</x:t>
        </x:is>
      </x:c>
      <x:c r="L3" s="27" t="inlineStr">
        <x:is>
          <x:t xml:space="preserve">Readiness Score</x:t>
        </x:is>
      </x:c>
      <x:c r="M3" s="27" t="inlineStr">
        <x:is>
          <x:t xml:space="preserve">Key Deliverable</x:t>
        </x:is>
      </x:c>
      <x:c r="N3" s="27" t="inlineStr">
        <x:is>
          <x:t xml:space="preserve">Weekly Review</x:t>
        </x:is>
      </x:c>
      <x:c r="O3" s="27" t="inlineStr">
        <x:is>
          <x:t xml:space="preserve">Biggest Risk</x:t>
        </x:is>
      </x:c>
      <x:c r="P3" s="27" t="inlineStr">
        <x:is>
          <x:t xml:space="preserve">Next Focus</x:t>
        </x:is>
      </x:c>
    </x:row>
    <x:row r="4" s="11" customFormat="1" ht="34" customHeight="1">
      <x:c r="A4" s="51" t="n">
        <x:v>1</x:v>
      </x:c>
      <x:c r="B4" s="51" t="inlineStr">
        <x:is>
          <x:t xml:space="preserve">1-7</x:t>
        </x:is>
      </x:c>
      <x:c r="C4" s="42" t="inlineStr">
        <x:is>
          <x:t xml:space="preserve">Phase 1: Foundations</x:t>
        </x:is>
      </x:c>
      <x:c r="D4" s="43" t="inlineStr">
        <x:is>
          <x:t xml:space="preserve">Foundation: algorithm thinking, JVM, AWS account/core infra, React fundamentals, architect basics</x:t>
        </x:is>
      </x:c>
      <x:c r="E4" s="75">
        <x:f>SUMIFS('120-Day Tracker'!$F$4:$F$123,'120-Day Tracker'!$B$4:$B$123,A4)</x:f>
        <x:v>41</x:v>
      </x:c>
      <x:c r="F4" s="75">
        <x:f>SUMIFS('120-Day Tracker'!$O$4:$O$123,'120-Day Tracker'!$B$4:$B$123,A4)</x:f>
        <x:v>0</x:v>
      </x:c>
      <x:c r="G4" s="53">
        <x:f>COUNTIF('120-Day Tracker'!$B$4:$B$123,A4)</x:f>
        <x:v>7</x:v>
      </x:c>
      <x:c r="H4" s="53">
        <x:f>COUNTIFS('120-Day Tracker'!$B$4:$B$123,A4,'120-Day Tracker'!$N$4:$N$123,"Done")</x:f>
        <x:v>0</x:v>
      </x:c>
      <x:c r="I4" s="73">
        <x:f>IF(G4=0,0,H4/G4)</x:f>
        <x:v>0</x:v>
      </x:c>
      <x:c r="J4" s="75">
        <x:f>IFERROR(AVERAGEIFS('120-Day Tracker'!$Q$4:$Q$123,'120-Day Tracker'!$B$4:$B$123,A4,'120-Day Tracker'!$Q$4:$Q$123,"&gt;0"),0)</x:f>
        <x:v>0</x:v>
      </x:c>
      <x:c r="K4" s="53">
        <x:f>COUNTIFS('120-Day Tracker'!$B$4:$B$123,A4,'120-Day Tracker'!$U$4:$U$123,"Overdue")</x:f>
        <x:v>0</x:v>
      </x:c>
      <x:c r="L4" s="75">
        <x:f>IF(H4=0,0,ROUND((I4*70)+(J4/5*20)+((1-MIN(1,K4/G4))*10),1))</x:f>
        <x:v>0</x:v>
      </x:c>
      <x:c r="M4" s="43" t="inlineStr">
        <x:is>
          <x:t xml:space="preserve">Push week-1 code and architecture sketch to Git | Write week-1 summary and weak-topic list</x:t>
        </x:is>
      </x:c>
      <x:c r="N4" s="47" t="n"/>
      <x:c r="O4" s="47" t="n"/>
      <x:c r="P4" s="47" t="n"/>
    </x:row>
    <x:row r="5" s="11" customFormat="1" ht="34" customHeight="1">
      <x:c r="A5" s="51" t="n">
        <x:v>2</x:v>
      </x:c>
      <x:c r="B5" s="51" t="inlineStr">
        <x:is>
          <x:t xml:space="preserve">8-14</x:t>
        </x:is>
      </x:c>
      <x:c r="C5" s="42" t="inlineStr">
        <x:is>
          <x:t xml:space="preserve">Phase 1: Foundations</x:t>
        </x:is>
      </x:c>
      <x:c r="D5" s="43" t="inlineStr">
        <x:is>
          <x:t xml:space="preserve">Sliding window, generics/streams, VPC basics, routing/forms, API design</x:t>
        </x:is>
      </x:c>
      <x:c r="E5" s="75">
        <x:f>SUMIFS('120-Day Tracker'!$F$4:$F$123,'120-Day Tracker'!$B$4:$B$123,A5)</x:f>
        <x:v>41</x:v>
      </x:c>
      <x:c r="F5" s="75">
        <x:f>SUMIFS('120-Day Tracker'!$O$4:$O$123,'120-Day Tracker'!$B$4:$B$123,A5)</x:f>
        <x:v>0</x:v>
      </x:c>
      <x:c r="G5" s="53">
        <x:f>COUNTIF('120-Day Tracker'!$B$4:$B$123,A5)</x:f>
        <x:v>7</x:v>
      </x:c>
      <x:c r="H5" s="53">
        <x:f>COUNTIFS('120-Day Tracker'!$B$4:$B$123,A5,'120-Day Tracker'!$N$4:$N$123,"Done")</x:f>
        <x:v>0</x:v>
      </x:c>
      <x:c r="I5" s="73">
        <x:f>IF(G5=0,0,H5/G5)</x:f>
        <x:v>0</x:v>
      </x:c>
      <x:c r="J5" s="75">
        <x:f>IFERROR(AVERAGEIFS('120-Day Tracker'!$Q$4:$Q$123,'120-Day Tracker'!$B$4:$B$123,A5,'120-Day Tracker'!$Q$4:$Q$123,"&gt;0"),0)</x:f>
        <x:v>0</x:v>
      </x:c>
      <x:c r="K5" s="53">
        <x:f>COUNTIFS('120-Day Tracker'!$B$4:$B$123,A5,'120-Day Tracker'!$U$4:$U$123,"Overdue")</x:f>
        <x:v>0</x:v>
      </x:c>
      <x:c r="L5" s="75">
        <x:f>IF(H5=0,0,ROUND((I5*70)+(J5/5*20)+((1-MIN(1,K5/G5))*10),1))</x:f>
        <x:v>0</x:v>
      </x:c>
      <x:c r="M5" s="43" t="inlineStr">
        <x:is>
          <x:t xml:space="preserve">Produce a short design note for a CRUD API | Update cheatsheets</x:t>
        </x:is>
      </x:c>
      <x:c r="N5" s="47" t="n"/>
      <x:c r="O5" s="47" t="n"/>
      <x:c r="P5" s="47" t="n"/>
    </x:row>
    <x:row r="6" s="11" customFormat="1" ht="34" customHeight="1">
      <x:c r="A6" s="51" t="n">
        <x:v>3</x:v>
      </x:c>
      <x:c r="B6" s="51" t="inlineStr">
        <x:is>
          <x:t xml:space="preserve">15-21</x:t>
        </x:is>
      </x:c>
      <x:c r="C6" s="42" t="inlineStr">
        <x:is>
          <x:t xml:space="preserve">Phase 1: Foundations</x:t>
        </x:is>
      </x:c>
      <x:c r="D6" s="43" t="inlineStr">
        <x:is>
          <x:t xml:space="preserve">Two pointers/strings, concurrency, storage/RDS, state management, caching/data modeling</x:t>
        </x:is>
      </x:c>
      <x:c r="E6" s="75">
        <x:f>SUMIFS('120-Day Tracker'!$F$4:$F$123,'120-Day Tracker'!$B$4:$B$123,A6)</x:f>
        <x:v>41</x:v>
      </x:c>
      <x:c r="F6" s="75">
        <x:f>SUMIFS('120-Day Tracker'!$O$4:$O$123,'120-Day Tracker'!$B$4:$B$123,A6)</x:f>
        <x:v>0</x:v>
      </x:c>
      <x:c r="G6" s="53">
        <x:f>COUNTIF('120-Day Tracker'!$B$4:$B$123,A6)</x:f>
        <x:v>7</x:v>
      </x:c>
      <x:c r="H6" s="53">
        <x:f>COUNTIFS('120-Day Tracker'!$B$4:$B$123,A6,'120-Day Tracker'!$N$4:$N$123,"Done")</x:f>
        <x:v>0</x:v>
      </x:c>
      <x:c r="I6" s="73">
        <x:f>IF(G6=0,0,H6/G6)</x:f>
        <x:v>0</x:v>
      </x:c>
      <x:c r="J6" s="75">
        <x:f>IFERROR(AVERAGEIFS('120-Day Tracker'!$Q$4:$Q$123,'120-Day Tracker'!$B$4:$B$123,A6,'120-Day Tracker'!$Q$4:$Q$123,"&gt;0"),0)</x:f>
        <x:v>0</x:v>
      </x:c>
      <x:c r="K6" s="53">
        <x:f>COUNTIFS('120-Day Tracker'!$B$4:$B$123,A6,'120-Day Tracker'!$U$4:$U$123,"Overdue")</x:f>
        <x:v>0</x:v>
      </x:c>
      <x:c r="L6" s="75">
        <x:f>IF(H6=0,0,ROUND((I6*70)+(J6/5*20)+((1-MIN(1,K6/G6))*10),1))</x:f>
        <x:v>0</x:v>
      </x:c>
      <x:c r="M6" s="43" t="inlineStr">
        <x:is>
          <x:t xml:space="preserve">Small backend + DB + UI demo | Update cheatsheets</x:t>
        </x:is>
      </x:c>
      <x:c r="N6" s="47" t="n"/>
      <x:c r="O6" s="47" t="n"/>
      <x:c r="P6" s="47" t="n"/>
    </x:row>
    <x:row r="7" s="11" customFormat="1" ht="34" customHeight="1">
      <x:c r="A7" s="51" t="n">
        <x:v>4</x:v>
      </x:c>
      <x:c r="B7" s="51" t="inlineStr">
        <x:is>
          <x:t xml:space="preserve">22-28</x:t>
        </x:is>
      </x:c>
      <x:c r="C7" s="42" t="inlineStr">
        <x:is>
          <x:t xml:space="preserve">Phase 1: Foundations</x:t>
        </x:is>
      </x:c>
      <x:c r="D7" s="43" t="inlineStr">
        <x:is>
          <x:t xml:space="preserve">Binary search/sorting/intervals, modern Java, RDS vs DynamoDB, API integration, load balancing/data scale</x:t>
        </x:is>
      </x:c>
      <x:c r="E7" s="75">
        <x:f>SUMIFS('120-Day Tracker'!$F$4:$F$123,'120-Day Tracker'!$B$4:$B$123,A7)</x:f>
        <x:v>41</x:v>
      </x:c>
      <x:c r="F7" s="75">
        <x:f>SUMIFS('120-Day Tracker'!$O$4:$O$123,'120-Day Tracker'!$B$4:$B$123,A7)</x:f>
        <x:v>0</x:v>
      </x:c>
      <x:c r="G7" s="53">
        <x:f>COUNTIF('120-Day Tracker'!$B$4:$B$123,A7)</x:f>
        <x:v>7</x:v>
      </x:c>
      <x:c r="H7" s="53">
        <x:f>COUNTIFS('120-Day Tracker'!$B$4:$B$123,A7,'120-Day Tracker'!$N$4:$N$123,"Done")</x:f>
        <x:v>0</x:v>
      </x:c>
      <x:c r="I7" s="73">
        <x:f>IF(G7=0,0,H7/G7)</x:f>
        <x:v>0</x:v>
      </x:c>
      <x:c r="J7" s="75">
        <x:f>IFERROR(AVERAGEIFS('120-Day Tracker'!$Q$4:$Q$123,'120-Day Tracker'!$B$4:$B$123,A7,'120-Day Tracker'!$Q$4:$Q$123,"&gt;0"),0)</x:f>
        <x:v>0</x:v>
      </x:c>
      <x:c r="K7" s="53">
        <x:f>COUNTIFS('120-Day Tracker'!$B$4:$B$123,A7,'120-Day Tracker'!$U$4:$U$123,"Overdue")</x:f>
        <x:v>0</x:v>
      </x:c>
      <x:c r="L7" s="75">
        <x:f>IF(H7=0,0,ROUND((I7*70)+(J7/5*20)+((1-MIN(1,K7/G7))*10),1))</x:f>
        <x:v>0</x:v>
      </x:c>
      <x:c r="M7" s="43" t="inlineStr">
        <x:is>
          <x:t xml:space="preserve">Milestone review for Day 30 | Prepare milestone summary</x:t>
        </x:is>
      </x:c>
      <x:c r="N7" s="47" t="n"/>
      <x:c r="O7" s="47" t="n"/>
      <x:c r="P7" s="47" t="n"/>
    </x:row>
    <x:row r="8" s="11" customFormat="1" ht="34" customHeight="1">
      <x:c r="A8" s="51" t="n">
        <x:v>5</x:v>
      </x:c>
      <x:c r="B8" s="51" t="inlineStr">
        <x:is>
          <x:t xml:space="preserve">29-35</x:t>
        </x:is>
      </x:c>
      <x:c r="C8" s="42" t="inlineStr">
        <x:is>
          <x:t xml:space="preserve">Phase 1: Foundations</x:t>
        </x:is>
      </x:c>
      <x:c r="D8" s="43" t="inlineStr">
        <x:is>
          <x:t xml:space="preserve">Linked list/stack/queue, Spring core, Lambda/API Gateway, advanced state, microservices basics</x:t>
        </x:is>
      </x:c>
      <x:c r="E8" s="75">
        <x:f>SUMIFS('120-Day Tracker'!$F$4:$F$123,'120-Day Tracker'!$B$4:$B$123,A8)</x:f>
        <x:v>41</x:v>
      </x:c>
      <x:c r="F8" s="75">
        <x:f>SUMIFS('120-Day Tracker'!$O$4:$O$123,'120-Day Tracker'!$B$4:$B$123,A8)</x:f>
        <x:v>0</x:v>
      </x:c>
      <x:c r="G8" s="53">
        <x:f>COUNTIF('120-Day Tracker'!$B$4:$B$123,A8)</x:f>
        <x:v>7</x:v>
      </x:c>
      <x:c r="H8" s="53">
        <x:f>COUNTIFS('120-Day Tracker'!$B$4:$B$123,A8,'120-Day Tracker'!$N$4:$N$123,"Done")</x:f>
        <x:v>0</x:v>
      </x:c>
      <x:c r="I8" s="73">
        <x:f>IF(G8=0,0,H8/G8)</x:f>
        <x:v>0</x:v>
      </x:c>
      <x:c r="J8" s="75">
        <x:f>IFERROR(AVERAGEIFS('120-Day Tracker'!$Q$4:$Q$123,'120-Day Tracker'!$B$4:$B$123,A8,'120-Day Tracker'!$Q$4:$Q$123,"&gt;0"),0)</x:f>
        <x:v>0</x:v>
      </x:c>
      <x:c r="K8" s="53">
        <x:f>COUNTIFS('120-Day Tracker'!$B$4:$B$123,A8,'120-Day Tracker'!$U$4:$U$123,"Overdue")</x:f>
        <x:v>0</x:v>
      </x:c>
      <x:c r="L8" s="75">
        <x:f>IF(H8=0,0,ROUND((I8*70)+(J8/5*20)+((1-MIN(1,K8/G8))*10),1))</x:f>
        <x:v>0</x:v>
      </x:c>
      <x:c r="M8" s="43" t="inlineStr">
        <x:is>
          <x:t xml:space="preserve">Compare monolith vs microservice design | Update architecture notes</x:t>
        </x:is>
      </x:c>
      <x:c r="N8" s="47" t="n"/>
      <x:c r="O8" s="47" t="n"/>
      <x:c r="P8" s="47" t="n"/>
    </x:row>
    <x:row r="9" s="11" customFormat="1" ht="34" customHeight="1">
      <x:c r="A9" s="51" t="n">
        <x:v>6</x:v>
      </x:c>
      <x:c r="B9" s="51" t="inlineStr">
        <x:is>
          <x:t xml:space="preserve">36-42</x:t>
        </x:is>
      </x:c>
      <x:c r="C9" s="42" t="inlineStr">
        <x:is>
          <x:t xml:space="preserve">Phase 2: Build Systems</x:t>
        </x:is>
      </x:c>
      <x:c r="D9" s="43" t="inlineStr">
        <x:is>
          <x:t xml:space="preserve">Heap/trees basics, JPA, Docker/ECS, React performance, auth/security</x:t>
        </x:is>
      </x:c>
      <x:c r="E9" s="75">
        <x:f>SUMIFS('120-Day Tracker'!$F$4:$F$123,'120-Day Tracker'!$B$4:$B$123,A9)</x:f>
        <x:v>41</x:v>
      </x:c>
      <x:c r="F9" s="75">
        <x:f>SUMIFS('120-Day Tracker'!$O$4:$O$123,'120-Day Tracker'!$B$4:$B$123,A9)</x:f>
        <x:v>0</x:v>
      </x:c>
      <x:c r="G9" s="53">
        <x:f>COUNTIF('120-Day Tracker'!$B$4:$B$123,A9)</x:f>
        <x:v>7</x:v>
      </x:c>
      <x:c r="H9" s="53">
        <x:f>COUNTIFS('120-Day Tracker'!$B$4:$B$123,A9,'120-Day Tracker'!$N$4:$N$123,"Done")</x:f>
        <x:v>0</x:v>
      </x:c>
      <x:c r="I9" s="73">
        <x:f>IF(G9=0,0,H9/G9)</x:f>
        <x:v>0</x:v>
      </x:c>
      <x:c r="J9" s="75">
        <x:f>IFERROR(AVERAGEIFS('120-Day Tracker'!$Q$4:$Q$123,'120-Day Tracker'!$B$4:$B$123,A9,'120-Day Tracker'!$Q$4:$Q$123,"&gt;0"),0)</x:f>
        <x:v>0</x:v>
      </x:c>
      <x:c r="K9" s="53">
        <x:f>COUNTIFS('120-Day Tracker'!$B$4:$B$123,A9,'120-Day Tracker'!$U$4:$U$123,"Overdue")</x:f>
        <x:v>0</x:v>
      </x:c>
      <x:c r="L9" s="75">
        <x:f>IF(H9=0,0,ROUND((I9*70)+(J9/5*20)+((1-MIN(1,K9/G9))*10),1))</x:f>
        <x:v>0</x:v>
      </x:c>
      <x:c r="M9" s="43" t="inlineStr">
        <x:is>
          <x:t xml:space="preserve">Milestone: containerized app in cloud | Update cheatsheets</x:t>
        </x:is>
      </x:c>
      <x:c r="N9" s="47" t="n"/>
      <x:c r="O9" s="47" t="n"/>
      <x:c r="P9" s="47" t="n"/>
    </x:row>
    <x:row r="10" s="11" customFormat="1" ht="34" customHeight="1">
      <x:c r="A10" s="51" t="n">
        <x:v>7</x:v>
      </x:c>
      <x:c r="B10" s="51" t="inlineStr">
        <x:is>
          <x:t xml:space="preserve">43-49</x:t>
        </x:is>
      </x:c>
      <x:c r="C10" s="42" t="inlineStr">
        <x:is>
          <x:t xml:space="preserve">Phase 2: Build Systems</x:t>
        </x:is>
      </x:c>
      <x:c r="D10" s="43" t="inlineStr">
        <x:is>
          <x:t xml:space="preserve">Trees advanced, persistence tuning, messaging, UI architecture, event-driven design</x:t>
        </x:is>
      </x:c>
      <x:c r="E10" s="75">
        <x:f>SUMIFS('120-Day Tracker'!$F$4:$F$123,'120-Day Tracker'!$B$4:$B$123,A10)</x:f>
        <x:v>41</x:v>
      </x:c>
      <x:c r="F10" s="75">
        <x:f>SUMIFS('120-Day Tracker'!$O$4:$O$123,'120-Day Tracker'!$B$4:$B$123,A10)</x:f>
        <x:v>0</x:v>
      </x:c>
      <x:c r="G10" s="53">
        <x:f>COUNTIF('120-Day Tracker'!$B$4:$B$123,A10)</x:f>
        <x:v>7</x:v>
      </x:c>
      <x:c r="H10" s="53">
        <x:f>COUNTIFS('120-Day Tracker'!$B$4:$B$123,A10,'120-Day Tracker'!$N$4:$N$123,"Done")</x:f>
        <x:v>0</x:v>
      </x:c>
      <x:c r="I10" s="73">
        <x:f>IF(G10=0,0,H10/G10)</x:f>
        <x:v>0</x:v>
      </x:c>
      <x:c r="J10" s="75">
        <x:f>IFERROR(AVERAGEIFS('120-Day Tracker'!$Q$4:$Q$123,'120-Day Tracker'!$B$4:$B$123,A10,'120-Day Tracker'!$Q$4:$Q$123,"&gt;0"),0)</x:f>
        <x:v>0</x:v>
      </x:c>
      <x:c r="K10" s="53">
        <x:f>COUNTIFS('120-Day Tracker'!$B$4:$B$123,A10,'120-Day Tracker'!$U$4:$U$123,"Overdue")</x:f>
        <x:v>0</x:v>
      </x:c>
      <x:c r="L10" s="75">
        <x:f>IF(H10=0,0,ROUND((I10*70)+(J10/5*20)+((1-MIN(1,K10/G10))*10),1))</x:f>
        <x:v>0</x:v>
      </x:c>
      <x:c r="M10" s="43" t="inlineStr">
        <x:is>
          <x:t xml:space="preserve">Milestone: async processing path | Update diagrams</x:t>
        </x:is>
      </x:c>
      <x:c r="N10" s="47" t="n"/>
      <x:c r="O10" s="47" t="n"/>
      <x:c r="P10" s="47" t="n"/>
    </x:row>
    <x:row r="11" s="11" customFormat="1" ht="34" customHeight="1">
      <x:c r="A11" s="51" t="n">
        <x:v>8</x:v>
      </x:c>
      <x:c r="B11" s="51" t="inlineStr">
        <x:is>
          <x:t xml:space="preserve">50-56</x:t>
        </x:is>
      </x:c>
      <x:c r="C11" s="42" t="inlineStr">
        <x:is>
          <x:t xml:space="preserve">Phase 2: Build Systems</x:t>
        </x:is>
      </x:c>
      <x:c r="D11" s="43" t="inlineStr">
        <x:is>
          <x:t xml:space="preserve">Graphs, Spring Cloud patterns, observability, frontend testing, reliability</x:t>
        </x:is>
      </x:c>
      <x:c r="E11" s="75">
        <x:f>SUMIFS('120-Day Tracker'!$F$4:$F$123,'120-Day Tracker'!$B$4:$B$123,A11)</x:f>
        <x:v>41</x:v>
      </x:c>
      <x:c r="F11" s="75">
        <x:f>SUMIFS('120-Day Tracker'!$O$4:$O$123,'120-Day Tracker'!$B$4:$B$123,A11)</x:f>
        <x:v>0</x:v>
      </x:c>
      <x:c r="G11" s="53">
        <x:f>COUNTIF('120-Day Tracker'!$B$4:$B$123,A11)</x:f>
        <x:v>7</x:v>
      </x:c>
      <x:c r="H11" s="53">
        <x:f>COUNTIFS('120-Day Tracker'!$B$4:$B$123,A11,'120-Day Tracker'!$N$4:$N$123,"Done")</x:f>
        <x:v>0</x:v>
      </x:c>
      <x:c r="I11" s="73">
        <x:f>IF(G11=0,0,H11/G11)</x:f>
        <x:v>0</x:v>
      </x:c>
      <x:c r="J11" s="75">
        <x:f>IFERROR(AVERAGEIFS('120-Day Tracker'!$Q$4:$Q$123,'120-Day Tracker'!$B$4:$B$123,A11,'120-Day Tracker'!$Q$4:$Q$123,"&gt;0"),0)</x:f>
        <x:v>0</x:v>
      </x:c>
      <x:c r="K11" s="53">
        <x:f>COUNTIFS('120-Day Tracker'!$B$4:$B$123,A11,'120-Day Tracker'!$U$4:$U$123,"Overdue")</x:f>
        <x:v>0</x:v>
      </x:c>
      <x:c r="L11" s="75">
        <x:f>IF(H11=0,0,ROUND((I11*70)+(J11/5*20)+((1-MIN(1,K11/G11))*10),1))</x:f>
        <x:v>0</x:v>
      </x:c>
      <x:c r="M11" s="43" t="inlineStr">
        <x:is>
          <x:t xml:space="preserve">Milestone: observable service | Update runbook</x:t>
        </x:is>
      </x:c>
      <x:c r="N11" s="47" t="n"/>
      <x:c r="O11" s="47" t="n"/>
      <x:c r="P11" s="47" t="n"/>
    </x:row>
    <x:row r="12" s="11" customFormat="1" ht="34" customHeight="1">
      <x:c r="A12" s="51" t="n">
        <x:v>9</x:v>
      </x:c>
      <x:c r="B12" s="51" t="inlineStr">
        <x:is>
          <x:t xml:space="preserve">57-63</x:t>
        </x:is>
      </x:c>
      <x:c r="C12" s="42" t="inlineStr">
        <x:is>
          <x:t xml:space="preserve">Phase 2: Build Systems</x:t>
        </x:is>
      </x:c>
      <x:c r="D12" s="43" t="inlineStr">
        <x:is>
          <x:t xml:space="preserve">DP basics, async Java, Redis patterns, TypeScript basics, caching strategy</x:t>
        </x:is>
      </x:c>
      <x:c r="E12" s="75">
        <x:f>SUMIFS('120-Day Tracker'!$F$4:$F$123,'120-Day Tracker'!$B$4:$B$123,A12)</x:f>
        <x:v>41</x:v>
      </x:c>
      <x:c r="F12" s="75">
        <x:f>SUMIFS('120-Day Tracker'!$O$4:$O$123,'120-Day Tracker'!$B$4:$B$123,A12)</x:f>
        <x:v>0</x:v>
      </x:c>
      <x:c r="G12" s="53">
        <x:f>COUNTIF('120-Day Tracker'!$B$4:$B$123,A12)</x:f>
        <x:v>7</x:v>
      </x:c>
      <x:c r="H12" s="53">
        <x:f>COUNTIFS('120-Day Tracker'!$B$4:$B$123,A12,'120-Day Tracker'!$N$4:$N$123,"Done")</x:f>
        <x:v>0</x:v>
      </x:c>
      <x:c r="I12" s="73">
        <x:f>IF(G12=0,0,H12/G12)</x:f>
        <x:v>0</x:v>
      </x:c>
      <x:c r="J12" s="75">
        <x:f>IFERROR(AVERAGEIFS('120-Day Tracker'!$Q$4:$Q$123,'120-Day Tracker'!$B$4:$B$123,A12,'120-Day Tracker'!$Q$4:$Q$123,"&gt;0"),0)</x:f>
        <x:v>0</x:v>
      </x:c>
      <x:c r="K12" s="53">
        <x:f>COUNTIFS('120-Day Tracker'!$B$4:$B$123,A12,'120-Day Tracker'!$U$4:$U$123,"Overdue")</x:f>
        <x:v>0</x:v>
      </x:c>
      <x:c r="L12" s="75">
        <x:f>IF(H12=0,0,ROUND((I12*70)+(J12/5*20)+((1-MIN(1,K12/G12))*10),1))</x:f>
        <x:v>0</x:v>
      </x:c>
      <x:c r="M12" s="43" t="inlineStr">
        <x:is>
          <x:t xml:space="preserve">Milestone: cache-backed async feature | Update cheatsheets</x:t>
        </x:is>
      </x:c>
      <x:c r="N12" s="47" t="n"/>
      <x:c r="O12" s="47" t="n"/>
      <x:c r="P12" s="47" t="n"/>
    </x:row>
    <x:row r="13" s="11" customFormat="1" ht="34" customHeight="1">
      <x:c r="A13" s="51" t="n">
        <x:v>10</x:v>
      </x:c>
      <x:c r="B13" s="51" t="inlineStr">
        <x:is>
          <x:t xml:space="preserve">64-70</x:t>
        </x:is>
      </x:c>
      <x:c r="C13" s="42" t="inlineStr">
        <x:is>
          <x:t xml:space="preserve">Phase 3: Operate &amp; Scale</x:t>
        </x:is>
      </x:c>
      <x:c r="D13" s="43" t="inlineStr">
        <x:is>
          <x:t xml:space="preserve">DP advanced, resilience, EKS concepts, design system, distributed transactions</x:t>
        </x:is>
      </x:c>
      <x:c r="E13" s="75">
        <x:f>SUMIFS('120-Day Tracker'!$F$4:$F$123,'120-Day Tracker'!$B$4:$B$123,A13)</x:f>
        <x:v>41</x:v>
      </x:c>
      <x:c r="F13" s="75">
        <x:f>SUMIFS('120-Day Tracker'!$O$4:$O$123,'120-Day Tracker'!$B$4:$B$123,A13)</x:f>
        <x:v>0</x:v>
      </x:c>
      <x:c r="G13" s="53">
        <x:f>COUNTIF('120-Day Tracker'!$B$4:$B$123,A13)</x:f>
        <x:v>7</x:v>
      </x:c>
      <x:c r="H13" s="53">
        <x:f>COUNTIFS('120-Day Tracker'!$B$4:$B$123,A13,'120-Day Tracker'!$N$4:$N$123,"Done")</x:f>
        <x:v>0</x:v>
      </x:c>
      <x:c r="I13" s="73">
        <x:f>IF(G13=0,0,H13/G13)</x:f>
        <x:v>0</x:v>
      </x:c>
      <x:c r="J13" s="75">
        <x:f>IFERROR(AVERAGEIFS('120-Day Tracker'!$Q$4:$Q$123,'120-Day Tracker'!$B$4:$B$123,A13,'120-Day Tracker'!$Q$4:$Q$123,"&gt;0"),0)</x:f>
        <x:v>0</x:v>
      </x:c>
      <x:c r="K13" s="53">
        <x:f>COUNTIFS('120-Day Tracker'!$B$4:$B$123,A13,'120-Day Tracker'!$U$4:$U$123,"Overdue")</x:f>
        <x:v>0</x:v>
      </x:c>
      <x:c r="L13" s="75">
        <x:f>IF(H13=0,0,ROUND((I13*70)+(J13/5*20)+((1-MIN(1,K13/G13))*10),1))</x:f>
        <x:v>0</x:v>
      </x:c>
      <x:c r="M13" s="43" t="inlineStr">
        <x:is>
          <x:t xml:space="preserve">Milestone: resilient service patterns | Update ADRs</x:t>
        </x:is>
      </x:c>
      <x:c r="N13" s="47" t="n"/>
      <x:c r="O13" s="47" t="n"/>
      <x:c r="P13" s="47" t="n"/>
    </x:row>
    <x:row r="14" s="11" customFormat="1" ht="34" customHeight="1">
      <x:c r="A14" s="51" t="n">
        <x:v>11</x:v>
      </x:c>
      <x:c r="B14" s="51" t="inlineStr">
        <x:is>
          <x:t xml:space="preserve">71-77</x:t>
        </x:is>
      </x:c>
      <x:c r="C14" s="42" t="inlineStr">
        <x:is>
          <x:t xml:space="preserve">Phase 3: Operate &amp; Scale</x:t>
        </x:is>
      </x:c>
      <x:c r="D14" s="43" t="inlineStr">
        <x:is>
          <x:t xml:space="preserve">Greedy/intervals, architecture patterns in Java, cloud security, frontend architecture, threat modeling</x:t>
        </x:is>
      </x:c>
      <x:c r="E14" s="75">
        <x:f>SUMIFS('120-Day Tracker'!$F$4:$F$123,'120-Day Tracker'!$B$4:$B$123,A14)</x:f>
        <x:v>41</x:v>
      </x:c>
      <x:c r="F14" s="75">
        <x:f>SUMIFS('120-Day Tracker'!$O$4:$O$123,'120-Day Tracker'!$B$4:$B$123,A14)</x:f>
        <x:v>0</x:v>
      </x:c>
      <x:c r="G14" s="53">
        <x:f>COUNTIF('120-Day Tracker'!$B$4:$B$123,A14)</x:f>
        <x:v>7</x:v>
      </x:c>
      <x:c r="H14" s="53">
        <x:f>COUNTIFS('120-Day Tracker'!$B$4:$B$123,A14,'120-Day Tracker'!$N$4:$N$123,"Done")</x:f>
        <x:v>0</x:v>
      </x:c>
      <x:c r="I14" s="73">
        <x:f>IF(G14=0,0,H14/G14)</x:f>
        <x:v>0</x:v>
      </x:c>
      <x:c r="J14" s="75">
        <x:f>IFERROR(AVERAGEIFS('120-Day Tracker'!$Q$4:$Q$123,'120-Day Tracker'!$B$4:$B$123,A14,'120-Day Tracker'!$Q$4:$Q$123,"&gt;0"),0)</x:f>
        <x:v>0</x:v>
      </x:c>
      <x:c r="K14" s="53">
        <x:f>COUNTIFS('120-Day Tracker'!$B$4:$B$123,A14,'120-Day Tracker'!$U$4:$U$123,"Overdue")</x:f>
        <x:v>0</x:v>
      </x:c>
      <x:c r="L14" s="75">
        <x:f>IF(H14=0,0,ROUND((I14*70)+(J14/5*20)+((1-MIN(1,K14/G14))*10),1))</x:f>
        <x:v>0</x:v>
      </x:c>
      <x:c r="M14" s="43" t="inlineStr">
        <x:is>
          <x:t xml:space="preserve">Milestone: security baseline | Update security checklist</x:t>
        </x:is>
      </x:c>
      <x:c r="N14" s="47" t="n"/>
      <x:c r="O14" s="47" t="n"/>
      <x:c r="P14" s="47" t="n"/>
    </x:row>
    <x:row r="15" s="11" customFormat="1" ht="34" customHeight="1">
      <x:c r="A15" s="51" t="n">
        <x:v>12</x:v>
      </x:c>
      <x:c r="B15" s="51" t="inlineStr">
        <x:is>
          <x:t xml:space="preserve">78-84</x:t>
        </x:is>
      </x:c>
      <x:c r="C15" s="42" t="inlineStr">
        <x:is>
          <x:t xml:space="preserve">Phase 3: Operate &amp; Scale</x:t>
        </x:is>
      </x:c>
      <x:c r="D15" s="43" t="inlineStr">
        <x:is>
          <x:t xml:space="preserve">Backtracking/bit/math, CI/CD, IaC, build tooling, DevSecOps</x:t>
        </x:is>
      </x:c>
      <x:c r="E15" s="75">
        <x:f>SUMIFS('120-Day Tracker'!$F$4:$F$123,'120-Day Tracker'!$B$4:$B$123,A15)</x:f>
        <x:v>41</x:v>
      </x:c>
      <x:c r="F15" s="75">
        <x:f>SUMIFS('120-Day Tracker'!$O$4:$O$123,'120-Day Tracker'!$B$4:$B$123,A15)</x:f>
        <x:v>0</x:v>
      </x:c>
      <x:c r="G15" s="53">
        <x:f>COUNTIF('120-Day Tracker'!$B$4:$B$123,A15)</x:f>
        <x:v>7</x:v>
      </x:c>
      <x:c r="H15" s="53">
        <x:f>COUNTIFS('120-Day Tracker'!$B$4:$B$123,A15,'120-Day Tracker'!$N$4:$N$123,"Done")</x:f>
        <x:v>0</x:v>
      </x:c>
      <x:c r="I15" s="73">
        <x:f>IF(G15=0,0,H15/G15)</x:f>
        <x:v>0</x:v>
      </x:c>
      <x:c r="J15" s="75">
        <x:f>IFERROR(AVERAGEIFS('120-Day Tracker'!$Q$4:$Q$123,'120-Day Tracker'!$B$4:$B$123,A15,'120-Day Tracker'!$Q$4:$Q$123,"&gt;0"),0)</x:f>
        <x:v>0</x:v>
      </x:c>
      <x:c r="K15" s="53">
        <x:f>COUNTIFS('120-Day Tracker'!$B$4:$B$123,A15,'120-Day Tracker'!$U$4:$U$123,"Overdue")</x:f>
        <x:v>0</x:v>
      </x:c>
      <x:c r="L15" s="75">
        <x:f>IF(H15=0,0,ROUND((I15*70)+(J15/5*20)+((1-MIN(1,K15/G15))*10),1))</x:f>
        <x:v>0</x:v>
      </x:c>
      <x:c r="M15" s="43" t="inlineStr">
        <x:is>
          <x:t xml:space="preserve">Milestone: automated build pipeline | Update runbooks</x:t>
        </x:is>
      </x:c>
      <x:c r="N15" s="47" t="n"/>
      <x:c r="O15" s="47" t="n"/>
      <x:c r="P15" s="47" t="n"/>
    </x:row>
    <x:row r="16" s="11" customFormat="1" ht="34" customHeight="1">
      <x:c r="A16" s="51" t="n">
        <x:v>13</x:v>
      </x:c>
      <x:c r="B16" s="51" t="inlineStr">
        <x:is>
          <x:t xml:space="preserve">85-91</x:t>
        </x:is>
      </x:c>
      <x:c r="C16" s="42" t="inlineStr">
        <x:is>
          <x:t xml:space="preserve">Phase 3: Operate &amp; Scale</x:t>
        </x:is>
      </x:c>
      <x:c r="D16" s="43" t="inlineStr">
        <x:is>
          <x:t xml:space="preserve">Mixed interview set, performance tuning, advanced networking, accessibility, cost/performance trade-offs</x:t>
        </x:is>
      </x:c>
      <x:c r="E16" s="75">
        <x:f>SUMIFS('120-Day Tracker'!$F$4:$F$123,'120-Day Tracker'!$B$4:$B$123,A16)</x:f>
        <x:v>41</x:v>
      </x:c>
      <x:c r="F16" s="75">
        <x:f>SUMIFS('120-Day Tracker'!$O$4:$O$123,'120-Day Tracker'!$B$4:$B$123,A16)</x:f>
        <x:v>0</x:v>
      </x:c>
      <x:c r="G16" s="53">
        <x:f>COUNTIF('120-Day Tracker'!$B$4:$B$123,A16)</x:f>
        <x:v>7</x:v>
      </x:c>
      <x:c r="H16" s="53">
        <x:f>COUNTIFS('120-Day Tracker'!$B$4:$B$123,A16,'120-Day Tracker'!$N$4:$N$123,"Done")</x:f>
        <x:v>0</x:v>
      </x:c>
      <x:c r="I16" s="73">
        <x:f>IF(G16=0,0,H16/G16)</x:f>
        <x:v>0</x:v>
      </x:c>
      <x:c r="J16" s="75">
        <x:f>IFERROR(AVERAGEIFS('120-Day Tracker'!$Q$4:$Q$123,'120-Day Tracker'!$B$4:$B$123,A16,'120-Day Tracker'!$Q$4:$Q$123,"&gt;0"),0)</x:f>
        <x:v>0</x:v>
      </x:c>
      <x:c r="K16" s="53">
        <x:f>COUNTIFS('120-Day Tracker'!$B$4:$B$123,A16,'120-Day Tracker'!$U$4:$U$123,"Overdue")</x:f>
        <x:v>0</x:v>
      </x:c>
      <x:c r="L16" s="75">
        <x:f>IF(H16=0,0,ROUND((I16*70)+(J16/5*20)+((1-MIN(1,K16/G16))*10),1))</x:f>
        <x:v>0</x:v>
      </x:c>
      <x:c r="M16" s="43" t="inlineStr">
        <x:is>
          <x:t xml:space="preserve">Milestone: tuned and audited slice | Update scorecard</x:t>
        </x:is>
      </x:c>
      <x:c r="N16" s="47" t="n"/>
      <x:c r="O16" s="47" t="n"/>
      <x:c r="P16" s="47" t="n"/>
    </x:row>
    <x:row r="17" s="11" customFormat="1" ht="34" customHeight="1">
      <x:c r="A17" s="51" t="n">
        <x:v>14</x:v>
      </x:c>
      <x:c r="B17" s="51" t="inlineStr">
        <x:is>
          <x:t xml:space="preserve">92-98</x:t>
        </x:is>
      </x:c>
      <x:c r="C17" s="42" t="inlineStr">
        <x:is>
          <x:t xml:space="preserve">Phase 4: Architect Mode</x:t>
        </x:is>
      </x:c>
      <x:c r="D17" s="43" t="inlineStr">
        <x:is>
          <x:t xml:space="preserve">System-design implementation, HA/DR, frontend monitoring, stakeholder communication</x:t>
        </x:is>
      </x:c>
      <x:c r="E17" s="75">
        <x:f>SUMIFS('120-Day Tracker'!$F$4:$F$123,'120-Day Tracker'!$B$4:$B$123,A17)</x:f>
        <x:v>41</x:v>
      </x:c>
      <x:c r="F17" s="75">
        <x:f>SUMIFS('120-Day Tracker'!$O$4:$O$123,'120-Day Tracker'!$B$4:$B$123,A17)</x:f>
        <x:v>0</x:v>
      </x:c>
      <x:c r="G17" s="53">
        <x:f>COUNTIF('120-Day Tracker'!$B$4:$B$123,A17)</x:f>
        <x:v>7</x:v>
      </x:c>
      <x:c r="H17" s="53">
        <x:f>COUNTIFS('120-Day Tracker'!$B$4:$B$123,A17,'120-Day Tracker'!$N$4:$N$123,"Done")</x:f>
        <x:v>0</x:v>
      </x:c>
      <x:c r="I17" s="73">
        <x:f>IF(G17=0,0,H17/G17)</x:f>
        <x:v>0</x:v>
      </x:c>
      <x:c r="J17" s="75">
        <x:f>IFERROR(AVERAGEIFS('120-Day Tracker'!$Q$4:$Q$123,'120-Day Tracker'!$B$4:$B$123,A17,'120-Day Tracker'!$Q$4:$Q$123,"&gt;0"),0)</x:f>
        <x:v>0</x:v>
      </x:c>
      <x:c r="K17" s="53">
        <x:f>COUNTIFS('120-Day Tracker'!$B$4:$B$123,A17,'120-Day Tracker'!$U$4:$U$123,"Overdue")</x:f>
        <x:v>0</x:v>
      </x:c>
      <x:c r="L17" s="75">
        <x:f>IF(H17=0,0,ROUND((I17*70)+(J17/5*20)+((1-MIN(1,K17/G17))*10),1))</x:f>
        <x:v>0</x:v>
      </x:c>
      <x:c r="M17" s="43" t="inlineStr">
        <x:is>
          <x:t xml:space="preserve">Milestone: design and explain | Update portfolio notes</x:t>
        </x:is>
      </x:c>
      <x:c r="N17" s="47" t="n"/>
      <x:c r="O17" s="47" t="n"/>
      <x:c r="P17" s="47" t="n"/>
    </x:row>
    <x:row r="18" s="11" customFormat="1" ht="34" customHeight="1">
      <x:c r="A18" s="51" t="n">
        <x:v>15</x:v>
      </x:c>
      <x:c r="B18" s="51" t="inlineStr">
        <x:is>
          <x:t xml:space="preserve">99-105</x:t>
        </x:is>
      </x:c>
      <x:c r="C18" s="42" t="inlineStr">
        <x:is>
          <x:t xml:space="preserve">Phase 4: Architect Mode</x:t>
        </x:is>
      </x:c>
      <x:c r="D18" s="43" t="inlineStr">
        <x:is>
          <x:t xml:space="preserve">GenAI basics, LLM integration, RAG, chat UI, AI architecture and governance</x:t>
        </x:is>
      </x:c>
      <x:c r="E18" s="75">
        <x:f>SUMIFS('120-Day Tracker'!$F$4:$F$123,'120-Day Tracker'!$B$4:$B$123,A18)</x:f>
        <x:v>41</x:v>
      </x:c>
      <x:c r="F18" s="75">
        <x:f>SUMIFS('120-Day Tracker'!$O$4:$O$123,'120-Day Tracker'!$B$4:$B$123,A18)</x:f>
        <x:v>0</x:v>
      </x:c>
      <x:c r="G18" s="53">
        <x:f>COUNTIF('120-Day Tracker'!$B$4:$B$123,A18)</x:f>
        <x:v>7</x:v>
      </x:c>
      <x:c r="H18" s="53">
        <x:f>COUNTIFS('120-Day Tracker'!$B$4:$B$123,A18,'120-Day Tracker'!$N$4:$N$123,"Done")</x:f>
        <x:v>0</x:v>
      </x:c>
      <x:c r="I18" s="73">
        <x:f>IF(G18=0,0,H18/G18)</x:f>
        <x:v>0</x:v>
      </x:c>
      <x:c r="J18" s="75">
        <x:f>IFERROR(AVERAGEIFS('120-Day Tracker'!$Q$4:$Q$123,'120-Day Tracker'!$B$4:$B$123,A18,'120-Day Tracker'!$Q$4:$Q$123,"&gt;0"),0)</x:f>
        <x:v>0</x:v>
      </x:c>
      <x:c r="K18" s="53">
        <x:f>COUNTIFS('120-Day Tracker'!$B$4:$B$123,A18,'120-Day Tracker'!$U$4:$U$123,"Overdue")</x:f>
        <x:v>0</x:v>
      </x:c>
      <x:c r="L18" s="75">
        <x:f>IF(H18=0,0,ROUND((I18*70)+(J18/5*20)+((1-MIN(1,K18/G18))*10),1))</x:f>
        <x:v>0</x:v>
      </x:c>
      <x:c r="M18" s="43" t="inlineStr">
        <x:is>
          <x:t xml:space="preserve">Milestone: GenAI slice | Update AI design notes</x:t>
        </x:is>
      </x:c>
      <x:c r="N18" s="47" t="n"/>
      <x:c r="O18" s="47" t="n"/>
      <x:c r="P18" s="47" t="n"/>
    </x:row>
    <x:row r="19" s="11" customFormat="1" ht="34" customHeight="1">
      <x:c r="A19" s="51" t="n">
        <x:v>16</x:v>
      </x:c>
      <x:c r="B19" s="51" t="inlineStr">
        <x:is>
          <x:t xml:space="preserve">106-112</x:t>
        </x:is>
      </x:c>
      <x:c r="C19" s="42" t="inlineStr">
        <x:is>
          <x:t xml:space="preserve">Phase 4: Architect Mode</x:t>
        </x:is>
      </x:c>
      <x:c r="D19" s="43" t="inlineStr">
        <x:is>
          <x:t xml:space="preserve">Capstone planning and build sprint 1: domain model, auth, core services, routing, NFRs</x:t>
        </x:is>
      </x:c>
      <x:c r="E19" s="75">
        <x:f>SUMIFS('120-Day Tracker'!$F$4:$F$123,'120-Day Tracker'!$B$4:$B$123,A19)</x:f>
        <x:v>41</x:v>
      </x:c>
      <x:c r="F19" s="75">
        <x:f>SUMIFS('120-Day Tracker'!$O$4:$O$123,'120-Day Tracker'!$B$4:$B$123,A19)</x:f>
        <x:v>0</x:v>
      </x:c>
      <x:c r="G19" s="53">
        <x:f>COUNTIF('120-Day Tracker'!$B$4:$B$123,A19)</x:f>
        <x:v>7</x:v>
      </x:c>
      <x:c r="H19" s="53">
        <x:f>COUNTIFS('120-Day Tracker'!$B$4:$B$123,A19,'120-Day Tracker'!$N$4:$N$123,"Done")</x:f>
        <x:v>0</x:v>
      </x:c>
      <x:c r="I19" s="73">
        <x:f>IF(G19=0,0,H19/G19)</x:f>
        <x:v>0</x:v>
      </x:c>
      <x:c r="J19" s="75">
        <x:f>IFERROR(AVERAGEIFS('120-Day Tracker'!$Q$4:$Q$123,'120-Day Tracker'!$B$4:$B$123,A19,'120-Day Tracker'!$Q$4:$Q$123,"&gt;0"),0)</x:f>
        <x:v>0</x:v>
      </x:c>
      <x:c r="K19" s="53">
        <x:f>COUNTIFS('120-Day Tracker'!$B$4:$B$123,A19,'120-Day Tracker'!$U$4:$U$123,"Overdue")</x:f>
        <x:v>0</x:v>
      </x:c>
      <x:c r="L19" s="75">
        <x:f>IF(H19=0,0,ROUND((I19*70)+(J19/5*20)+((1-MIN(1,K19/G19))*10),1))</x:f>
        <x:v>0</x:v>
      </x:c>
      <x:c r="M19" s="43" t="inlineStr">
        <x:is>
          <x:t xml:space="preserve">Staging demo | Update gap list</x:t>
        </x:is>
      </x:c>
      <x:c r="N19" s="47" t="n"/>
      <x:c r="O19" s="47" t="n"/>
      <x:c r="P19" s="47" t="n"/>
    </x:row>
    <x:row r="20" s="11" customFormat="1" ht="34" customHeight="1">
      <x:c r="A20" s="51" t="n">
        <x:v>17</x:v>
      </x:c>
      <x:c r="B20" s="51" t="inlineStr">
        <x:is>
          <x:t xml:space="preserve">113-119</x:t>
        </x:is>
      </x:c>
      <x:c r="C20" s="42" t="inlineStr">
        <x:is>
          <x:t xml:space="preserve">Phase 4: Architect Mode</x:t>
        </x:is>
      </x:c>
      <x:c r="D20" s="43" t="inlineStr">
        <x:is>
          <x:t xml:space="preserve">Capstone sprint 2: optimization, security, DR, docs, presentation</x:t>
        </x:is>
      </x:c>
      <x:c r="E20" s="75">
        <x:f>SUMIFS('120-Day Tracker'!$F$4:$F$123,'120-Day Tracker'!$B$4:$B$123,A20)</x:f>
        <x:v>41</x:v>
      </x:c>
      <x:c r="F20" s="75">
        <x:f>SUMIFS('120-Day Tracker'!$O$4:$O$123,'120-Day Tracker'!$B$4:$B$123,A20)</x:f>
        <x:v>0</x:v>
      </x:c>
      <x:c r="G20" s="53">
        <x:f>COUNTIF('120-Day Tracker'!$B$4:$B$123,A20)</x:f>
        <x:v>7</x:v>
      </x:c>
      <x:c r="H20" s="53">
        <x:f>COUNTIFS('120-Day Tracker'!$B$4:$B$123,A20,'120-Day Tracker'!$N$4:$N$123,"Done")</x:f>
        <x:v>0</x:v>
      </x:c>
      <x:c r="I20" s="73">
        <x:f>IF(G20=0,0,H20/G20)</x:f>
        <x:v>0</x:v>
      </x:c>
      <x:c r="J20" s="75">
        <x:f>IFERROR(AVERAGEIFS('120-Day Tracker'!$Q$4:$Q$123,'120-Day Tracker'!$B$4:$B$123,A20,'120-Day Tracker'!$Q$4:$Q$123,"&gt;0"),0)</x:f>
        <x:v>0</x:v>
      </x:c>
      <x:c r="K20" s="53">
        <x:f>COUNTIFS('120-Day Tracker'!$B$4:$B$123,A20,'120-Day Tracker'!$U$4:$U$123,"Overdue")</x:f>
        <x:v>0</x:v>
      </x:c>
      <x:c r="L20" s="75">
        <x:f>IF(H20=0,0,ROUND((I20*70)+(J20/5*20)+((1-MIN(1,K20/G20))*10),1))</x:f>
        <x:v>0</x:v>
      </x:c>
      <x:c r="M20" s="43" t="inlineStr">
        <x:is>
          <x:t xml:space="preserve">Milestone: end-to-end solution | Prepare final assessment</x:t>
        </x:is>
      </x:c>
      <x:c r="N20" s="47" t="n"/>
      <x:c r="O20" s="47" t="n"/>
      <x:c r="P20" s="47" t="n"/>
    </x:row>
    <x:row r="21" s="11" customFormat="1" ht="34" customHeight="1">
      <x:c r="A21" s="51" t="n">
        <x:v>18</x:v>
      </x:c>
      <x:c r="B21" s="51" t="inlineStr">
        <x:is>
          <x:t xml:space="preserve">120-120</x:t>
        </x:is>
      </x:c>
      <x:c r="C21" s="42" t="inlineStr">
        <x:is>
          <x:t xml:space="preserve">Phase 4: Architect Mode</x:t>
        </x:is>
      </x:c>
      <x:c r="D21" s="43" t="inlineStr">
        <x:is>
          <x:t xml:space="preserve">Final consolidation and architect presentation</x:t>
        </x:is>
      </x:c>
      <x:c r="E21" s="75">
        <x:f>SUMIFS('120-Day Tracker'!$F$4:$F$123,'120-Day Tracker'!$B$4:$B$123,A21)</x:f>
        <x:v>5</x:v>
      </x:c>
      <x:c r="F21" s="75">
        <x:f>SUMIFS('120-Day Tracker'!$O$4:$O$123,'120-Day Tracker'!$B$4:$B$123,A21)</x:f>
        <x:v>0</x:v>
      </x:c>
      <x:c r="G21" s="53">
        <x:f>COUNTIF('120-Day Tracker'!$B$4:$B$123,A21)</x:f>
        <x:v>1</x:v>
      </x:c>
      <x:c r="H21" s="53">
        <x:f>COUNTIFS('120-Day Tracker'!$B$4:$B$123,A21,'120-Day Tracker'!$N$4:$N$123,"Done")</x:f>
        <x:v>0</x:v>
      </x:c>
      <x:c r="I21" s="73">
        <x:f>IF(G21=0,0,H21/G21)</x:f>
        <x:v>0</x:v>
      </x:c>
      <x:c r="J21" s="75">
        <x:f>IFERROR(AVERAGEIFS('120-Day Tracker'!$Q$4:$Q$123,'120-Day Tracker'!$B$4:$B$123,A21,'120-Day Tracker'!$Q$4:$Q$123,"&gt;0"),0)</x:f>
        <x:v>0</x:v>
      </x:c>
      <x:c r="K21" s="53">
        <x:f>COUNTIFS('120-Day Tracker'!$B$4:$B$123,A21,'120-Day Tracker'!$U$4:$U$123,"Overdue")</x:f>
        <x:v>0</x:v>
      </x:c>
      <x:c r="L21" s="75">
        <x:f>IF(H21=0,0,ROUND((I21*70)+(J21/5*20)+((1-MIN(1,K21/G21))*10),1))</x:f>
        <x:v>0</x:v>
      </x:c>
      <x:c r="M21" s="43" t="inlineStr">
        <x:is>
          <x:t xml:space="preserve">Final recap / continuation notes</x:t>
        </x:is>
      </x:c>
      <x:c r="N21" s="47" t="n"/>
      <x:c r="O21" s="47" t="n"/>
      <x:c r="P21" s="47" t="n"/>
    </x:row>
    <x:row r="22" s="11" customFormat="1" ht="34" customHeight="1"/>
  </x:sheetData>
  <x:mergeCells>
    <x:mergeCell ref="A1:P1"/>
    <x:mergeCell ref="A2:P2"/>
  </x:mergeCells>
  <x:conditionalFormatting sqref="I4:I21">
    <x:cfRule type="dataBar" priority="1">
      <x:dataBar>
        <x:cfvo type="num" val="0"/>
        <x:cfvo type="num" val="1"/>
        <x:color rgb="005B9BD5"/>
      </x:dataBar>
    </x:cfRule>
  </x:conditionalFormatting>
  <x:conditionalFormatting sqref="L4:L21">
    <x:cfRule type="colorScale" priority="2">
      <x:colorScale>
        <x:cfvo type="num" val="0"/>
        <x:cfvo type="num" val="70"/>
        <x:cfvo type="num" val="100"/>
        <x:color rgb="00F8696B"/>
        <x:color rgb="00FFEB84"/>
        <x:color rgb="00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64b1e3bc4984139"/>
  </x:tableParts>
</x:worksheet>
</file>

<file path=xl/worksheets/sheet4.xml><?xml version="1.0" encoding="utf-8"?>
<x:worksheet xmlns:x="http://schemas.openxmlformats.org/spreadsheetml/2006/main">
  <x:sheetPr>
    <x:tabColor rgb="0000B0F0"/>
  </x:sheetPr>
  <x:sheetViews>
    <x:sheetView showGridLines="0" workbookViewId="0"/>
  </x:sheetViews>
  <x:sheetFormatPr baseColWidth="8" defaultRowHeight="15"/>
  <x:cols>
    <x:col min="1" max="1" width="14" style="11" customWidth="1"/>
    <x:col min="2" max="2" width="18" style="11" customWidth="1"/>
    <x:col min="3" max="3" width="22" style="11" customWidth="1"/>
    <x:col min="4" max="4" width="8" style="11" customWidth="1"/>
    <x:col min="5" max="5" width="10" style="11" customWidth="1"/>
    <x:col min="6" max="6" width="28" style="11" customWidth="1"/>
    <x:col min="7" max="7" width="60" style="11" customWidth="1"/>
    <x:col min="8" max="8" width="18" style="11" customWidth="1"/>
    <x:col min="9" max="9" width="12" style="11" customWidth="1"/>
    <x:col min="10" max="10" width="14" style="11" customWidth="1"/>
    <x:col min="11" max="11" width="12" style="11" customWidth="1"/>
    <x:col min="12" max="12" width="12" style="11" customWidth="1"/>
    <x:col min="13" max="13" width="12" style="11" customWidth="1"/>
    <x:col min="14" max="14" width="24" style="11" customWidth="1"/>
  </x:cols>
  <x:sheetData>
    <x:row r="1" s="11" customFormat="1" ht="24" customHeight="1">
      <x:c r="A1" s="12" t="inlineStr">
        <x:is>
          <x:t xml:space="preserve">Concepts Tracker</x:t>
        </x:is>
      </x:c>
      <x:c r="B1" s="61" t="n"/>
      <x:c r="C1" s="61" t="n"/>
      <x:c r="D1" s="61" t="n"/>
      <x:c r="E1" s="61" t="n"/>
      <x:c r="F1" s="61" t="n"/>
      <x:c r="G1" s="61" t="n"/>
      <x:c r="H1" s="61" t="n"/>
      <x:c r="I1" s="61" t="n"/>
      <x:c r="J1" s="61" t="n"/>
      <x:c r="K1" s="61" t="n"/>
      <x:c r="L1" s="61" t="n"/>
      <x:c r="M1" s="61" t="n"/>
      <x:c r="N1" s="62" t="n"/>
    </x:row>
    <x:row r="2" s="11" customFormat="1" ht="24" customHeight="1">
      <x:c r="A2" s="40" t="inlineStr">
        <x:is>
          <x:t xml:space="preserve">This is the revision map of the plan: one row per week per domain. Use it to track mastery, review dates, and evidence.</x:t>
        </x:is>
      </x:c>
    </x:row>
    <x:row r="3" s="11" customFormat="1" ht="36" customHeight="1">
      <x:c r="A3" s="27" t="inlineStr">
        <x:is>
          <x:t xml:space="preserve">Concept ID</x:t>
        </x:is>
      </x:c>
      <x:c r="B3" s="27" t="inlineStr">
        <x:is>
          <x:t xml:space="preserve">Domain</x:t>
        </x:is>
      </x:c>
      <x:c r="C3" s="27" t="inlineStr">
        <x:is>
          <x:t xml:space="preserve">Phase</x:t>
        </x:is>
      </x:c>
      <x:c r="D3" s="27" t="inlineStr">
        <x:is>
          <x:t xml:space="preserve">Week</x:t>
        </x:is>
      </x:c>
      <x:c r="E3" s="27" t="inlineStr">
        <x:is>
          <x:t xml:space="preserve">Day Range</x:t>
        </x:is>
      </x:c>
      <x:c r="F3" s="27" t="inlineStr">
        <x:is>
          <x:t xml:space="preserve">Weekly Theme</x:t>
        </x:is>
      </x:c>
      <x:c r="G3" s="27" t="inlineStr">
        <x:is>
          <x:t xml:space="preserve">Concept Cluster</x:t>
        </x:is>
      </x:c>
      <x:c r="H3" s="27" t="inlineStr">
        <x:is>
          <x:t xml:space="preserve">Mastery Mode</x:t>
        </x:is>
      </x:c>
      <x:c r="I3" s="27" t="inlineStr">
        <x:is>
          <x:t xml:space="preserve">Priority</x:t>
        </x:is>
      </x:c>
      <x:c r="J3" s="27" t="inlineStr">
        <x:is>
          <x:t xml:space="preserve">Status</x:t>
        </x:is>
      </x:c>
      <x:c r="K3" s="27" t="inlineStr">
        <x:is>
          <x:t xml:space="preserve">Confidence</x:t>
        </x:is>
      </x:c>
      <x:c r="L3" s="27" t="inlineStr">
        <x:is>
          <x:t xml:space="preserve">Last Reviewed</x:t>
        </x:is>
      </x:c>
      <x:c r="M3" s="27" t="inlineStr">
        <x:is>
          <x:t xml:space="preserve">Next Review</x:t>
        </x:is>
      </x:c>
      <x:c r="N3" s="27" t="inlineStr">
        <x:is>
          <x:t xml:space="preserve">Evidence / Notes</x:t>
        </x:is>
      </x:c>
    </x:row>
    <x:row r="4" s="11" customFormat="1" ht="36" customHeight="1">
      <x:c r="A4" s="51" t="inlineStr">
        <x:is>
          <x:t xml:space="preserve">W01-DSA</x:t>
        </x:is>
      </x:c>
      <x:c r="B4" s="43" t="inlineStr">
        <x:is>
          <x:t xml:space="preserve">DSA</x:t>
        </x:is>
      </x:c>
      <x:c r="C4" s="54" t="inlineStr">
        <x:is>
          <x:t xml:space="preserve">Phase 1: Foundations</x:t>
        </x:is>
      </x:c>
      <x:c r="D4" s="51" t="n">
        <x:v>1</x:v>
      </x:c>
      <x:c r="E4" s="51" t="inlineStr">
        <x:is>
          <x:t xml:space="preserve">1-7</x:t>
        </x:is>
      </x:c>
      <x:c r="F4" s="43" t="inlineStr">
        <x:is>
          <x:t xml:space="preserve">Foundation: algorithm thinking, JVM, AWS account/core infra, React fundamentals, architect basics</x:t>
        </x:is>
      </x:c>
      <x:c r="G4" s="43" t="inlineStr">
        <x:is>
          <x:t xml:space="preserve">Arrays intro + complexity; Hashing patterns; Prefix sum; Kadane + product array except self; Best time to buy/sell + move zeroes; Weekend drill: 4 array/hash problems; Weekly review + timed array set</x:t>
        </x:is>
      </x:c>
      <x:c r="H4" s="51" t="inlineStr">
        <x:is>
          <x:t xml:space="preserve">Solve + Explain</x:t>
        </x:is>
      </x:c>
      <x:c r="I4" s="55" t="inlineStr">
        <x:is>
          <x:t xml:space="preserve">High</x:t>
        </x:is>
      </x:c>
      <x:c r="J4" s="44" t="inlineStr">
        <x:is>
          <x:t xml:space="preserve">Not Started</x:t>
        </x:is>
      </x:c>
      <x:c r="K4" s="44" t="n"/>
      <x:c r="L4" s="63" t="n"/>
      <x:c r="M4" s="64">
        <x:f>IF(L4="","",L4+7)</x:f>
      </x:c>
      <x:c r="N4" s="43" t="inlineStr">
        <x:is>
          <x:t xml:space="preserve">Push week-1 code and architecture sketch to Git | Write week-1 summary and weak-topic list</x:t>
        </x:is>
      </x:c>
    </x:row>
    <x:row r="5" s="11" customFormat="1" ht="36" customHeight="1">
      <x:c r="A5" s="51" t="inlineStr">
        <x:is>
          <x:t xml:space="preserve">W01-JAVA</x:t>
        </x:is>
      </x:c>
      <x:c r="B5" s="43" t="inlineStr">
        <x:is>
          <x:t xml:space="preserve">Java / Spring</x:t>
        </x:is>
      </x:c>
      <x:c r="C5" s="54" t="inlineStr">
        <x:is>
          <x:t xml:space="preserve">Phase 1: Foundations</x:t>
        </x:is>
      </x:c>
      <x:c r="D5" s="51" t="n">
        <x:v>1</x:v>
      </x:c>
      <x:c r="E5" s="51" t="inlineStr">
        <x:is>
          <x:t xml:space="preserve">1-7</x:t>
        </x:is>
      </x:c>
      <x:c r="F5" s="43" t="inlineStr">
        <x:is>
          <x:t xml:space="preserve">Foundation: algorithm thinking, JVM, AWS account/core infra, React fundamentals, architect basics</x:t>
        </x:is>
      </x:c>
      <x:c r="G5" s="43" t="inlineStr">
        <x:is>
          <x:t xml:space="preserve">JVM memory model: heap, stack, metaspace; Class loading, JIT, GC overview; G1 GC and memory troubleshooting basics; Collections overview and ArrayList vs LinkedList; HashMap internals and collision handling; Java profiling intro with VisualVM/JFR; Build Java CLI utility for file parsing</x:t>
        </x:is>
      </x:c>
      <x:c r="H5" s="51" t="inlineStr">
        <x:is>
          <x:t xml:space="preserve">Implement + Explain</x:t>
        </x:is>
      </x:c>
      <x:c r="I5" s="55" t="inlineStr">
        <x:is>
          <x:t xml:space="preserve">High</x:t>
        </x:is>
      </x:c>
      <x:c r="J5" s="44" t="inlineStr">
        <x:is>
          <x:t xml:space="preserve">Not Started</x:t>
        </x:is>
      </x:c>
      <x:c r="K5" s="44" t="n"/>
      <x:c r="L5" s="63" t="n"/>
      <x:c r="M5" s="64">
        <x:f>IF(L5="","",L5+7)</x:f>
      </x:c>
      <x:c r="N5" s="43" t="inlineStr">
        <x:is>
          <x:t xml:space="preserve">Push week-1 code and architecture sketch to Git | Write week-1 summary and weak-topic list</x:t>
        </x:is>
      </x:c>
    </x:row>
    <x:row r="6" s="11" customFormat="1" ht="36" customHeight="1">
      <x:c r="A6" s="51" t="inlineStr">
        <x:is>
          <x:t xml:space="preserve">W01-AWS</x:t>
        </x:is>
      </x:c>
      <x:c r="B6" s="43" t="inlineStr">
        <x:is>
          <x:t xml:space="preserve">AWS / DevOps</x:t>
        </x:is>
      </x:c>
      <x:c r="C6" s="54" t="inlineStr">
        <x:is>
          <x:t xml:space="preserve">Phase 1: Foundations</x:t>
        </x:is>
      </x:c>
      <x:c r="D6" s="51" t="n">
        <x:v>1</x:v>
      </x:c>
      <x:c r="E6" s="51" t="inlineStr">
        <x:is>
          <x:t xml:space="preserve">1-7</x:t>
        </x:is>
      </x:c>
      <x:c r="F6" s="43" t="inlineStr">
        <x:is>
          <x:t xml:space="preserve">Foundation: algorithm thinking, JVM, AWS account/core infra, React fundamentals, architect basics</x:t>
        </x:is>
      </x:c>
      <x:c r="G6" s="43" t="inlineStr">
        <x:is>
          <x:t xml:space="preserve">AWS global infrastructure, account setup, MFA; IAM users, groups, roles, policies; AWS CLI, billing alerts, budgets; EC2 basics, AMI, instance families; Security groups, key pairs, SSH; S3 basics: buckets, policies, object upload; Host a static asset on S3</x:t>
        </x:is>
      </x:c>
      <x:c r="H6" s="51" t="inlineStr">
        <x:is>
          <x:t xml:space="preserve">Implement + Explain</x:t>
        </x:is>
      </x:c>
      <x:c r="I6" s="55" t="inlineStr">
        <x:is>
          <x:t xml:space="preserve">High</x:t>
        </x:is>
      </x:c>
      <x:c r="J6" s="44" t="inlineStr">
        <x:is>
          <x:t xml:space="preserve">Not Started</x:t>
        </x:is>
      </x:c>
      <x:c r="K6" s="44" t="n"/>
      <x:c r="L6" s="63" t="n"/>
      <x:c r="M6" s="64">
        <x:f>IF(L6="","",L6+7)</x:f>
      </x:c>
      <x:c r="N6" s="43" t="inlineStr">
        <x:is>
          <x:t xml:space="preserve">Push week-1 code and architecture sketch to Git | Write week-1 summary and weak-topic list</x:t>
        </x:is>
      </x:c>
    </x:row>
    <x:row r="7" s="11" customFormat="1" ht="36" customHeight="1">
      <x:c r="A7" s="51" t="inlineStr">
        <x:is>
          <x:t xml:space="preserve">W01-REAC</x:t>
        </x:is>
      </x:c>
      <x:c r="B7" s="43" t="inlineStr">
        <x:is>
          <x:t xml:space="preserve">React / Frontend</x:t>
        </x:is>
      </x:c>
      <x:c r="C7" s="54" t="inlineStr">
        <x:is>
          <x:t xml:space="preserve">Phase 1: Foundations</x:t>
        </x:is>
      </x:c>
      <x:c r="D7" s="51" t="n">
        <x:v>1</x:v>
      </x:c>
      <x:c r="E7" s="51" t="inlineStr">
        <x:is>
          <x:t xml:space="preserve">1-7</x:t>
        </x:is>
      </x:c>
      <x:c r="F7" s="43" t="inlineStr">
        <x:is>
          <x:t xml:space="preserve">Foundation: algorithm thinking, JVM, AWS account/core infra, React fundamentals, architect basics</x:t>
        </x:is>
      </x:c>
      <x:c r="G7" s="43" t="inlineStr">
        <x:is>
          <x:t xml:space="preserve">React mental model, setup, components; JSX, props, state; useState/useEffect basics; Lists, conditional rendering, events; Reusable components and props flow; Mini CRUD UI; Forms basics</x:t>
        </x:is>
      </x:c>
      <x:c r="H7" s="51" t="inlineStr">
        <x:is>
          <x:t xml:space="preserve">Implement</x:t>
        </x:is>
      </x:c>
      <x:c r="I7" s="55" t="inlineStr">
        <x:is>
          <x:t xml:space="preserve">Medium</x:t>
        </x:is>
      </x:c>
      <x:c r="J7" s="44" t="inlineStr">
        <x:is>
          <x:t xml:space="preserve">Not Started</x:t>
        </x:is>
      </x:c>
      <x:c r="K7" s="44" t="n"/>
      <x:c r="L7" s="63" t="n"/>
      <x:c r="M7" s="64">
        <x:f>IF(L7="","",L7+7)</x:f>
      </x:c>
      <x:c r="N7" s="43" t="inlineStr">
        <x:is>
          <x:t xml:space="preserve">Push week-1 code and architecture sketch to Git | Write week-1 summary and weak-topic list</x:t>
        </x:is>
      </x:c>
    </x:row>
    <x:row r="8" s="11" customFormat="1" ht="36" customHeight="1">
      <x:c r="A8" s="51" t="inlineStr">
        <x:is>
          <x:t xml:space="preserve">W01-ARCH</x:t>
        </x:is>
      </x:c>
      <x:c r="B8" s="43" t="inlineStr">
        <x:is>
          <x:t xml:space="preserve">Architecture / Design</x:t>
        </x:is>
      </x:c>
      <x:c r="C8" s="54" t="inlineStr">
        <x:is>
          <x:t xml:space="preserve">Phase 1: Foundations</x:t>
        </x:is>
      </x:c>
      <x:c r="D8" s="51" t="n">
        <x:v>1</x:v>
      </x:c>
      <x:c r="E8" s="51" t="inlineStr">
        <x:is>
          <x:t xml:space="preserve">1-7</x:t>
        </x:is>
      </x:c>
      <x:c r="F8" s="43" t="inlineStr">
        <x:is>
          <x:t xml:space="preserve">Foundation: algorithm thinking, JVM, AWS account/core infra, React fundamentals, architect basics</x:t>
        </x:is>
      </x:c>
      <x:c r="G8" s="43" t="inlineStr">
        <x:is>
          <x:t xml:space="preserve">Role of a solution architect; Well-Architected pillars; Functional vs non-functional requirements; Latency vs throughput vs scalability; CAP theorem and distributed-system basics; Monolith vs modular monolith; Sketch 3-tier architecture; Weekly retrospective and gap list</x:t>
        </x:is>
      </x:c>
      <x:c r="H8" s="51" t="inlineStr">
        <x:is>
          <x:t xml:space="preserve">Explain + Design</x:t>
        </x:is>
      </x:c>
      <x:c r="I8" s="55" t="inlineStr">
        <x:is>
          <x:t xml:space="preserve">Critical</x:t>
        </x:is>
      </x:c>
      <x:c r="J8" s="44" t="inlineStr">
        <x:is>
          <x:t xml:space="preserve">Not Started</x:t>
        </x:is>
      </x:c>
      <x:c r="K8" s="44" t="n"/>
      <x:c r="L8" s="63" t="n"/>
      <x:c r="M8" s="64">
        <x:f>IF(L8="","",L8+7)</x:f>
      </x:c>
      <x:c r="N8" s="43" t="inlineStr">
        <x:is>
          <x:t xml:space="preserve">Push week-1 code and architecture sketch to Git | Write week-1 summary and weak-topic list</x:t>
        </x:is>
      </x:c>
    </x:row>
    <x:row r="9" s="11" customFormat="1" ht="36" customHeight="1">
      <x:c r="A9" s="51" t="inlineStr">
        <x:is>
          <x:t xml:space="preserve">W02-DSA</x:t>
        </x:is>
      </x:c>
      <x:c r="B9" s="43" t="inlineStr">
        <x:is>
          <x:t xml:space="preserve">DSA</x:t>
        </x:is>
      </x:c>
      <x:c r="C9" s="54" t="inlineStr">
        <x:is>
          <x:t xml:space="preserve">Phase 1: Foundations</x:t>
        </x:is>
      </x:c>
      <x:c r="D9" s="51" t="n">
        <x:v>2</x:v>
      </x:c>
      <x:c r="E9" s="51" t="inlineStr">
        <x:is>
          <x:t xml:space="preserve">8-14</x:t>
        </x:is>
      </x:c>
      <x:c r="F9" s="43" t="inlineStr">
        <x:is>
          <x:t xml:space="preserve">Sliding window, generics/streams, VPC basics, routing/forms, API design</x:t>
        </x:is>
      </x:c>
      <x:c r="G9" s="43" t="inlineStr">
        <x:is>
          <x:t xml:space="preserve">Fixed sliding window; Variable sliding window; Longest substring without repeating; Minimum window substring; Character replacement / permutation in string; Weekend drill: 4 sliding-window problems; Weekly review + timed mixed set</x:t>
        </x:is>
      </x:c>
      <x:c r="H9" s="51" t="inlineStr">
        <x:is>
          <x:t xml:space="preserve">Solve + Explain</x:t>
        </x:is>
      </x:c>
      <x:c r="I9" s="55" t="inlineStr">
        <x:is>
          <x:t xml:space="preserve">High</x:t>
        </x:is>
      </x:c>
      <x:c r="J9" s="44" t="inlineStr">
        <x:is>
          <x:t xml:space="preserve">Not Started</x:t>
        </x:is>
      </x:c>
      <x:c r="K9" s="44" t="n"/>
      <x:c r="L9" s="63" t="n"/>
      <x:c r="M9" s="64">
        <x:f>IF(L9="","",L9+7)</x:f>
      </x:c>
      <x:c r="N9" s="43" t="inlineStr">
        <x:is>
          <x:t xml:space="preserve">Produce a short design note for a CRUD API | Update cheatsheets</x:t>
        </x:is>
      </x:c>
    </x:row>
    <x:row r="10" s="11" customFormat="1" ht="36" customHeight="1">
      <x:c r="A10" s="51" t="inlineStr">
        <x:is>
          <x:t xml:space="preserve">W02-JAVA</x:t>
        </x:is>
      </x:c>
      <x:c r="B10" s="43" t="inlineStr">
        <x:is>
          <x:t xml:space="preserve">Java / Spring</x:t>
        </x:is>
      </x:c>
      <x:c r="C10" s="54" t="inlineStr">
        <x:is>
          <x:t xml:space="preserve">Phase 1: Foundations</x:t>
        </x:is>
      </x:c>
      <x:c r="D10" s="51" t="n">
        <x:v>2</x:v>
      </x:c>
      <x:c r="E10" s="51" t="inlineStr">
        <x:is>
          <x:t xml:space="preserve">8-14</x:t>
        </x:is>
      </x:c>
      <x:c r="F10" s="43" t="inlineStr">
        <x:is>
          <x:t xml:space="preserve">Sliding window, generics/streams, VPC basics, routing/forms, API design</x:t>
        </x:is>
      </x:c>
      <x:c r="G10" s="43" t="inlineStr">
        <x:is>
          <x:t xml:space="preserve">Generics and type safety; Functional interfaces and lambdas; Streams: map/filter/reduce; Optional and records; Exception handling and logging basics; Streams-based Java utility; Refactor with records/Optional</x:t>
        </x:is>
      </x:c>
      <x:c r="H10" s="51" t="inlineStr">
        <x:is>
          <x:t xml:space="preserve">Implement + Explain</x:t>
        </x:is>
      </x:c>
      <x:c r="I10" s="55" t="inlineStr">
        <x:is>
          <x:t xml:space="preserve">High</x:t>
        </x:is>
      </x:c>
      <x:c r="J10" s="44" t="inlineStr">
        <x:is>
          <x:t xml:space="preserve">Not Started</x:t>
        </x:is>
      </x:c>
      <x:c r="K10" s="44" t="n"/>
      <x:c r="L10" s="63" t="n"/>
      <x:c r="M10" s="64">
        <x:f>IF(L10="","",L10+7)</x:f>
      </x:c>
      <x:c r="N10" s="43" t="inlineStr">
        <x:is>
          <x:t xml:space="preserve">Produce a short design note for a CRUD API | Update cheatsheets</x:t>
        </x:is>
      </x:c>
    </x:row>
    <x:row r="11" s="11" customFormat="1" ht="36" customHeight="1">
      <x:c r="A11" s="51" t="inlineStr">
        <x:is>
          <x:t xml:space="preserve">W02-AWS</x:t>
        </x:is>
      </x:c>
      <x:c r="B11" s="43" t="inlineStr">
        <x:is>
          <x:t xml:space="preserve">AWS / DevOps</x:t>
        </x:is>
      </x:c>
      <x:c r="C11" s="54" t="inlineStr">
        <x:is>
          <x:t xml:space="preserve">Phase 1: Foundations</x:t>
        </x:is>
      </x:c>
      <x:c r="D11" s="51" t="n">
        <x:v>2</x:v>
      </x:c>
      <x:c r="E11" s="51" t="inlineStr">
        <x:is>
          <x:t xml:space="preserve">8-14</x:t>
        </x:is>
      </x:c>
      <x:c r="F11" s="43" t="inlineStr">
        <x:is>
          <x:t xml:space="preserve">Sliding window, generics/streams, VPC basics, routing/forms, API design</x:t>
        </x:is>
      </x:c>
      <x:c r="G11" s="43" t="inlineStr">
        <x:is>
          <x:t xml:space="preserve">VPC, CIDR, public/private subnets; Route tables, internet gateway, NAT gateway; NACL vs security groups; Hands-on VPC lab; EC2 inside VPC + bastion or SSM concept; VPC end-to-end lab; Review IAM/VPC</x:t>
        </x:is>
      </x:c>
      <x:c r="H11" s="51" t="inlineStr">
        <x:is>
          <x:t xml:space="preserve">Implement + Explain</x:t>
        </x:is>
      </x:c>
      <x:c r="I11" s="55" t="inlineStr">
        <x:is>
          <x:t xml:space="preserve">Critical</x:t>
        </x:is>
      </x:c>
      <x:c r="J11" s="44" t="inlineStr">
        <x:is>
          <x:t xml:space="preserve">Not Started</x:t>
        </x:is>
      </x:c>
      <x:c r="K11" s="44" t="n"/>
      <x:c r="L11" s="63" t="n"/>
      <x:c r="M11" s="64">
        <x:f>IF(L11="","",L11+7)</x:f>
      </x:c>
      <x:c r="N11" s="43" t="inlineStr">
        <x:is>
          <x:t xml:space="preserve">Produce a short design note for a CRUD API | Update cheatsheets</x:t>
        </x:is>
      </x:c>
    </x:row>
    <x:row r="12" s="11" customFormat="1" ht="36" customHeight="1">
      <x:c r="A12" s="51" t="inlineStr">
        <x:is>
          <x:t xml:space="preserve">W02-REAC</x:t>
        </x:is>
      </x:c>
      <x:c r="B12" s="43" t="inlineStr">
        <x:is>
          <x:t xml:space="preserve">React / Frontend</x:t>
        </x:is>
      </x:c>
      <x:c r="C12" s="54" t="inlineStr">
        <x:is>
          <x:t xml:space="preserve">Phase 1: Foundations</x:t>
        </x:is>
      </x:c>
      <x:c r="D12" s="51" t="n">
        <x:v>2</x:v>
      </x:c>
      <x:c r="E12" s="51" t="inlineStr">
        <x:is>
          <x:t xml:space="preserve">8-14</x:t>
        </x:is>
      </x:c>
      <x:c r="F12" s="43" t="inlineStr">
        <x:is>
          <x:t xml:space="preserve">Sliding window, generics/streams, VPC basics, routing/forms, API design</x:t>
        </x:is>
      </x:c>
      <x:c r="G12" s="43" t="inlineStr">
        <x:is>
          <x:t xml:space="preserve">React Router basics; Route params and nested routes; Controlled forms; Form validation patterns; Custom hooks; Router + forms mini app; React refactor day</x:t>
        </x:is>
      </x:c>
      <x:c r="H12" s="51" t="inlineStr">
        <x:is>
          <x:t xml:space="preserve">Implement</x:t>
        </x:is>
      </x:c>
      <x:c r="I12" s="55" t="inlineStr">
        <x:is>
          <x:t xml:space="preserve">Medium</x:t>
        </x:is>
      </x:c>
      <x:c r="J12" s="44" t="inlineStr">
        <x:is>
          <x:t xml:space="preserve">Not Started</x:t>
        </x:is>
      </x:c>
      <x:c r="K12" s="44" t="n"/>
      <x:c r="L12" s="63" t="n"/>
      <x:c r="M12" s="64">
        <x:f>IF(L12="","",L12+7)</x:f>
      </x:c>
      <x:c r="N12" s="43" t="inlineStr">
        <x:is>
          <x:t xml:space="preserve">Produce a short design note for a CRUD API | Update cheatsheets</x:t>
        </x:is>
      </x:c>
    </x:row>
    <x:row r="13" s="11" customFormat="1" ht="36" customHeight="1">
      <x:c r="A13" s="51" t="inlineStr">
        <x:is>
          <x:t xml:space="preserve">W02-ARCH</x:t>
        </x:is>
      </x:c>
      <x:c r="B13" s="43" t="inlineStr">
        <x:is>
          <x:t xml:space="preserve">Architecture / Design</x:t>
        </x:is>
      </x:c>
      <x:c r="C13" s="54" t="inlineStr">
        <x:is>
          <x:t xml:space="preserve">Phase 1: Foundations</x:t>
        </x:is>
      </x:c>
      <x:c r="D13" s="51" t="n">
        <x:v>2</x:v>
      </x:c>
      <x:c r="E13" s="51" t="inlineStr">
        <x:is>
          <x:t xml:space="preserve">8-14</x:t>
        </x:is>
      </x:c>
      <x:c r="F13" s="43" t="inlineStr">
        <x:is>
          <x:t xml:space="preserve">Sliding window, generics/streams, VPC basics, routing/forms, API design</x:t>
        </x:is>
      </x:c>
      <x:c r="G13" s="43" t="inlineStr">
        <x:is>
          <x:t xml:space="preserve">API resource modeling; REST constraints and idempotency; HTTP methods, status codes, versioning; Pagination/filter/sort design; Authentication basics and session vs token; Architecture review: API design and auth choices; Retrospective</x:t>
        </x:is>
      </x:c>
      <x:c r="H13" s="51" t="inlineStr">
        <x:is>
          <x:t xml:space="preserve">Explain + Design</x:t>
        </x:is>
      </x:c>
      <x:c r="I13" s="55" t="inlineStr">
        <x:is>
          <x:t xml:space="preserve">Critical</x:t>
        </x:is>
      </x:c>
      <x:c r="J13" s="44" t="inlineStr">
        <x:is>
          <x:t xml:space="preserve">Not Started</x:t>
        </x:is>
      </x:c>
      <x:c r="K13" s="44" t="n"/>
      <x:c r="L13" s="63" t="n"/>
      <x:c r="M13" s="64">
        <x:f>IF(L13="","",L13+7)</x:f>
      </x:c>
      <x:c r="N13" s="43" t="inlineStr">
        <x:is>
          <x:t xml:space="preserve">Produce a short design note for a CRUD API | Update cheatsheets</x:t>
        </x:is>
      </x:c>
    </x:row>
    <x:row r="14" s="11" customFormat="1" ht="36" customHeight="1">
      <x:c r="A14" s="51" t="inlineStr">
        <x:is>
          <x:t xml:space="preserve">W03-DSA</x:t>
        </x:is>
      </x:c>
      <x:c r="B14" s="43" t="inlineStr">
        <x:is>
          <x:t xml:space="preserve">DSA</x:t>
        </x:is>
      </x:c>
      <x:c r="C14" s="54" t="inlineStr">
        <x:is>
          <x:t xml:space="preserve">Phase 1: Foundations</x:t>
        </x:is>
      </x:c>
      <x:c r="D14" s="51" t="n">
        <x:v>3</x:v>
      </x:c>
      <x:c r="E14" s="51" t="inlineStr">
        <x:is>
          <x:t xml:space="preserve">15-21</x:t>
        </x:is>
      </x:c>
      <x:c r="F14" s="43" t="inlineStr">
        <x:is>
          <x:t xml:space="preserve">Two pointers/strings, concurrency, storage/RDS, state management, caching/data modeling</x:t>
        </x:is>
      </x:c>
      <x:c r="G14" s="43" t="inlineStr">
        <x:is>
          <x:t xml:space="preserve">Two pointers intro + valid palindrome; Container with most water / 3Sum pattern; Fast/slow pointers; String frequency/anagram/grouping patterns; Longest palindromic substring / string manipulation; Weekend drill: 4 pointer/string problems; Weekly review + timed set</x:t>
        </x:is>
      </x:c>
      <x:c r="H14" s="51" t="inlineStr">
        <x:is>
          <x:t xml:space="preserve">Solve + Explain</x:t>
        </x:is>
      </x:c>
      <x:c r="I14" s="55" t="inlineStr">
        <x:is>
          <x:t xml:space="preserve">High</x:t>
        </x:is>
      </x:c>
      <x:c r="J14" s="44" t="inlineStr">
        <x:is>
          <x:t xml:space="preserve">Not Started</x:t>
        </x:is>
      </x:c>
      <x:c r="K14" s="44" t="n"/>
      <x:c r="L14" s="63" t="n"/>
      <x:c r="M14" s="64">
        <x:f>IF(L14="","",L14+7)</x:f>
      </x:c>
      <x:c r="N14" s="43" t="inlineStr">
        <x:is>
          <x:t xml:space="preserve">Small backend + DB + UI demo | Update cheatsheets</x:t>
        </x:is>
      </x:c>
    </x:row>
    <x:row r="15" s="11" customFormat="1" ht="36" customHeight="1">
      <x:c r="A15" s="51" t="inlineStr">
        <x:is>
          <x:t xml:space="preserve">W03-JAVA</x:t>
        </x:is>
      </x:c>
      <x:c r="B15" s="43" t="inlineStr">
        <x:is>
          <x:t xml:space="preserve">Java / Spring</x:t>
        </x:is>
      </x:c>
      <x:c r="C15" s="54" t="inlineStr">
        <x:is>
          <x:t xml:space="preserve">Phase 1: Foundations</x:t>
        </x:is>
      </x:c>
      <x:c r="D15" s="51" t="n">
        <x:v>3</x:v>
      </x:c>
      <x:c r="E15" s="51" t="inlineStr">
        <x:is>
          <x:t xml:space="preserve">15-21</x:t>
        </x:is>
      </x:c>
      <x:c r="F15" s="43" t="inlineStr">
        <x:is>
          <x:t xml:space="preserve">Two pointers/strings, concurrency, storage/RDS, state management, caching/data modeling</x:t>
        </x:is>
      </x:c>
      <x:c r="G15" s="43" t="inlineStr">
        <x:is>
          <x:t xml:space="preserve">Threads vs runnables; Thread lifecycle, synchronized, locks; volatile, race conditions; ExecutorService and Future; CompletableFuture intro; Concurrent file processor; Concurrency notes cleanup</x:t>
        </x:is>
      </x:c>
      <x:c r="H15" s="51" t="inlineStr">
        <x:is>
          <x:t xml:space="preserve">Implement + Explain</x:t>
        </x:is>
      </x:c>
      <x:c r="I15" s="55" t="inlineStr">
        <x:is>
          <x:t xml:space="preserve">High</x:t>
        </x:is>
      </x:c>
      <x:c r="J15" s="44" t="inlineStr">
        <x:is>
          <x:t xml:space="preserve">Not Started</x:t>
        </x:is>
      </x:c>
      <x:c r="K15" s="44" t="n"/>
      <x:c r="L15" s="63" t="n"/>
      <x:c r="M15" s="64">
        <x:f>IF(L15="","",L15+7)</x:f>
      </x:c>
      <x:c r="N15" s="43" t="inlineStr">
        <x:is>
          <x:t xml:space="preserve">Small backend + DB + UI demo | Update cheatsheets</x:t>
        </x:is>
      </x:c>
    </x:row>
    <x:row r="16" s="11" customFormat="1" ht="36" customHeight="1">
      <x:c r="A16" s="51" t="inlineStr">
        <x:is>
          <x:t xml:space="preserve">W03-AWS</x:t>
        </x:is>
      </x:c>
      <x:c r="B16" s="43" t="inlineStr">
        <x:is>
          <x:t xml:space="preserve">AWS / DevOps</x:t>
        </x:is>
      </x:c>
      <x:c r="C16" s="54" t="inlineStr">
        <x:is>
          <x:t xml:space="preserve">Phase 1: Foundations</x:t>
        </x:is>
      </x:c>
      <x:c r="D16" s="51" t="n">
        <x:v>3</x:v>
      </x:c>
      <x:c r="E16" s="51" t="inlineStr">
        <x:is>
          <x:t xml:space="preserve">15-21</x:t>
        </x:is>
      </x:c>
      <x:c r="F16" s="43" t="inlineStr">
        <x:is>
          <x:t xml:space="preserve">Two pointers/strings, concurrency, storage/RDS, state management, caching/data modeling</x:t>
        </x:is>
      </x:c>
      <x:c r="G16" s="43" t="inlineStr">
        <x:is>
          <x:t xml:space="preserve">S3 versioning, lifecycle, storage classes; EBS volumes and snapshots; EFS basics and use cases; RDS basics, engines, backups; Read replicas and multi-AZ concept; RDS hands-on + schema; Storage recap</x:t>
        </x:is>
      </x:c>
      <x:c r="H16" s="51" t="inlineStr">
        <x:is>
          <x:t xml:space="preserve">Implement + Explain</x:t>
        </x:is>
      </x:c>
      <x:c r="I16" s="55" t="inlineStr">
        <x:is>
          <x:t xml:space="preserve">Critical</x:t>
        </x:is>
      </x:c>
      <x:c r="J16" s="44" t="inlineStr">
        <x:is>
          <x:t xml:space="preserve">Not Started</x:t>
        </x:is>
      </x:c>
      <x:c r="K16" s="44" t="n"/>
      <x:c r="L16" s="63" t="n"/>
      <x:c r="M16" s="64">
        <x:f>IF(L16="","",L16+7)</x:f>
      </x:c>
      <x:c r="N16" s="43" t="inlineStr">
        <x:is>
          <x:t xml:space="preserve">Small backend + DB + UI demo | Update cheatsheets</x:t>
        </x:is>
      </x:c>
    </x:row>
    <x:row r="17" s="11" customFormat="1" ht="36" customHeight="1">
      <x:c r="A17" s="51" t="inlineStr">
        <x:is>
          <x:t xml:space="preserve">W03-REAC</x:t>
        </x:is>
      </x:c>
      <x:c r="B17" s="43" t="inlineStr">
        <x:is>
          <x:t xml:space="preserve">React / Frontend</x:t>
        </x:is>
      </x:c>
      <x:c r="C17" s="54" t="inlineStr">
        <x:is>
          <x:t xml:space="preserve">Phase 1: Foundations</x:t>
        </x:is>
      </x:c>
      <x:c r="D17" s="51" t="n">
        <x:v>3</x:v>
      </x:c>
      <x:c r="E17" s="51" t="inlineStr">
        <x:is>
          <x:t xml:space="preserve">15-21</x:t>
        </x:is>
      </x:c>
      <x:c r="F17" s="43" t="inlineStr">
        <x:is>
          <x:t xml:space="preserve">Two pointers/strings, concurrency, storage/RDS, state management, caching/data modeling</x:t>
        </x:is>
      </x:c>
      <x:c r="G17" s="43" t="inlineStr">
        <x:is>
          <x:t xml:space="preserve">Context API; useReducer; Redux basics; Redux Toolkit; Async thunks or RTK Query; Redux app feature; State-management recap</x:t>
        </x:is>
      </x:c>
      <x:c r="H17" s="51" t="inlineStr">
        <x:is>
          <x:t xml:space="preserve">Implement</x:t>
        </x:is>
      </x:c>
      <x:c r="I17" s="55" t="inlineStr">
        <x:is>
          <x:t xml:space="preserve">Medium</x:t>
        </x:is>
      </x:c>
      <x:c r="J17" s="44" t="inlineStr">
        <x:is>
          <x:t xml:space="preserve">Not Started</x:t>
        </x:is>
      </x:c>
      <x:c r="K17" s="44" t="n"/>
      <x:c r="L17" s="63" t="n"/>
      <x:c r="M17" s="64">
        <x:f>IF(L17="","",L17+7)</x:f>
      </x:c>
      <x:c r="N17" s="43" t="inlineStr">
        <x:is>
          <x:t xml:space="preserve">Small backend + DB + UI demo | Update cheatsheets</x:t>
        </x:is>
      </x:c>
    </x:row>
    <x:row r="18" s="11" customFormat="1" ht="36" customHeight="1">
      <x:c r="A18" s="51" t="inlineStr">
        <x:is>
          <x:t xml:space="preserve">W03-ARCH</x:t>
        </x:is>
      </x:c>
      <x:c r="B18" s="43" t="inlineStr">
        <x:is>
          <x:t xml:space="preserve">Architecture / Design</x:t>
        </x:is>
      </x:c>
      <x:c r="C18" s="54" t="inlineStr">
        <x:is>
          <x:t xml:space="preserve">Phase 1: Foundations</x:t>
        </x:is>
      </x:c>
      <x:c r="D18" s="51" t="n">
        <x:v>3</x:v>
      </x:c>
      <x:c r="E18" s="51" t="inlineStr">
        <x:is>
          <x:t xml:space="preserve">15-21</x:t>
        </x:is>
      </x:c>
      <x:c r="F18" s="43" t="inlineStr">
        <x:is>
          <x:t xml:space="preserve">Two pointers/strings, concurrency, storage/RDS, state management, caching/data modeling</x:t>
        </x:is>
      </x:c>
      <x:c r="G18" s="43" t="inlineStr">
        <x:is>
          <x:t xml:space="preserve">Caching basics and cache-aside; Write-through vs write-back cache; SQL vs NoSQL decision factors; ER modeling and normalization; Indexes and query design basics; Database design exercise; Retrospective</x:t>
        </x:is>
      </x:c>
      <x:c r="H18" s="51" t="inlineStr">
        <x:is>
          <x:t xml:space="preserve">Explain + Design</x:t>
        </x:is>
      </x:c>
      <x:c r="I18" s="55" t="inlineStr">
        <x:is>
          <x:t xml:space="preserve">Critical</x:t>
        </x:is>
      </x:c>
      <x:c r="J18" s="44" t="inlineStr">
        <x:is>
          <x:t xml:space="preserve">Not Started</x:t>
        </x:is>
      </x:c>
      <x:c r="K18" s="44" t="n"/>
      <x:c r="L18" s="63" t="n"/>
      <x:c r="M18" s="64">
        <x:f>IF(L18="","",L18+7)</x:f>
      </x:c>
      <x:c r="N18" s="43" t="inlineStr">
        <x:is>
          <x:t xml:space="preserve">Small backend + DB + UI demo | Update cheatsheets</x:t>
        </x:is>
      </x:c>
    </x:row>
    <x:row r="19" s="11" customFormat="1" ht="36" customHeight="1">
      <x:c r="A19" s="51" t="inlineStr">
        <x:is>
          <x:t xml:space="preserve">W04-DSA</x:t>
        </x:is>
      </x:c>
      <x:c r="B19" s="43" t="inlineStr">
        <x:is>
          <x:t xml:space="preserve">DSA</x:t>
        </x:is>
      </x:c>
      <x:c r="C19" s="54" t="inlineStr">
        <x:is>
          <x:t xml:space="preserve">Phase 1: Foundations</x:t>
        </x:is>
      </x:c>
      <x:c r="D19" s="51" t="n">
        <x:v>4</x:v>
      </x:c>
      <x:c r="E19" s="51" t="inlineStr">
        <x:is>
          <x:t xml:space="preserve">22-28</x:t>
        </x:is>
      </x:c>
      <x:c r="F19" s="43" t="inlineStr">
        <x:is>
          <x:t xml:space="preserve">Binary search/sorting/intervals, modern Java, RDS vs DynamoDB, API integration, load balancing/data scale</x:t>
        </x:is>
      </x:c>
      <x:c r="G19" s="43" t="inlineStr">
        <x:is>
          <x:t xml:space="preserve">Binary search basics; Search insert / first-last position; Search in rotated sorted array; Sorting fundamentals + comparator; Merge intervals intro; Weekend drill: search/sort/intervals; Weekly review + timed set</x:t>
        </x:is>
      </x:c>
      <x:c r="H19" s="51" t="inlineStr">
        <x:is>
          <x:t xml:space="preserve">Solve + Explain</x:t>
        </x:is>
      </x:c>
      <x:c r="I19" s="55" t="inlineStr">
        <x:is>
          <x:t xml:space="preserve">High</x:t>
        </x:is>
      </x:c>
      <x:c r="J19" s="44" t="inlineStr">
        <x:is>
          <x:t xml:space="preserve">Not Started</x:t>
        </x:is>
      </x:c>
      <x:c r="K19" s="44" t="n"/>
      <x:c r="L19" s="63" t="n"/>
      <x:c r="M19" s="64">
        <x:f>IF(L19="","",L19+7)</x:f>
      </x:c>
      <x:c r="N19" s="43" t="inlineStr">
        <x:is>
          <x:t xml:space="preserve">Milestone review for Day 30 | Prepare milestone summary</x:t>
        </x:is>
      </x:c>
    </x:row>
    <x:row r="20" s="11" customFormat="1" ht="36" customHeight="1">
      <x:c r="A20" s="51" t="inlineStr">
        <x:is>
          <x:t xml:space="preserve">W04-JAVA</x:t>
        </x:is>
      </x:c>
      <x:c r="B20" s="43" t="inlineStr">
        <x:is>
          <x:t xml:space="preserve">Java / Spring</x:t>
        </x:is>
      </x:c>
      <x:c r="C20" s="54" t="inlineStr">
        <x:is>
          <x:t xml:space="preserve">Phase 1: Foundations</x:t>
        </x:is>
      </x:c>
      <x:c r="D20" s="51" t="n">
        <x:v>4</x:v>
      </x:c>
      <x:c r="E20" s="51" t="inlineStr">
        <x:is>
          <x:t xml:space="preserve">22-28</x:t>
        </x:is>
      </x:c>
      <x:c r="F20" s="43" t="inlineStr">
        <x:is>
          <x:t xml:space="preserve">Binary search/sorting/intervals, modern Java, RDS vs DynamoDB, API integration, load balancing/data scale</x:t>
        </x:is>
      </x:c>
      <x:c r="G20" s="43" t="inlineStr">
        <x:is>
          <x:t xml:space="preserve">CompletableFuture chaining; Parallel streams and benchmarking; Java 21 virtual threads overview; Sealed classes, pattern matching refresher; JUnit 5 and Mockito basics; Collections benchmark mini lab; Refactor and retest</x:t>
        </x:is>
      </x:c>
      <x:c r="H20" s="51" t="inlineStr">
        <x:is>
          <x:t xml:space="preserve">Implement + Explain</x:t>
        </x:is>
      </x:c>
      <x:c r="I20" s="55" t="inlineStr">
        <x:is>
          <x:t xml:space="preserve">High</x:t>
        </x:is>
      </x:c>
      <x:c r="J20" s="44" t="inlineStr">
        <x:is>
          <x:t xml:space="preserve">Not Started</x:t>
        </x:is>
      </x:c>
      <x:c r="K20" s="44" t="n"/>
      <x:c r="L20" s="63" t="n"/>
      <x:c r="M20" s="64">
        <x:f>IF(L20="","",L20+7)</x:f>
      </x:c>
      <x:c r="N20" s="43" t="inlineStr">
        <x:is>
          <x:t xml:space="preserve">Milestone review for Day 30 | Prepare milestone summary</x:t>
        </x:is>
      </x:c>
    </x:row>
    <x:row r="21" s="11" customFormat="1" ht="36" customHeight="1">
      <x:c r="A21" s="51" t="inlineStr">
        <x:is>
          <x:t xml:space="preserve">W04-AWS</x:t>
        </x:is>
      </x:c>
      <x:c r="B21" s="43" t="inlineStr">
        <x:is>
          <x:t xml:space="preserve">AWS / DevOps</x:t>
        </x:is>
      </x:c>
      <x:c r="C21" s="54" t="inlineStr">
        <x:is>
          <x:t xml:space="preserve">Phase 1: Foundations</x:t>
        </x:is>
      </x:c>
      <x:c r="D21" s="51" t="n">
        <x:v>4</x:v>
      </x:c>
      <x:c r="E21" s="51" t="inlineStr">
        <x:is>
          <x:t xml:space="preserve">22-28</x:t>
        </x:is>
      </x:c>
      <x:c r="F21" s="43" t="inlineStr">
        <x:is>
          <x:t xml:space="preserve">Binary search/sorting/intervals, modern Java, RDS vs DynamoDB, API integration, load balancing/data scale</x:t>
        </x:is>
      </x:c>
      <x:c r="G21" s="43" t="inlineStr">
        <x:is>
          <x:t xml:space="preserve">DynamoDB intro; DynamoDB partition key/sort key; GSI/LSI and capacity modes; RDS vs DynamoDB decision lab; Database backup/restore review; Full CRUD app with chosen DB; AWS core recap</x:t>
        </x:is>
      </x:c>
      <x:c r="H21" s="51" t="inlineStr">
        <x:is>
          <x:t xml:space="preserve">Implement + Explain</x:t>
        </x:is>
      </x:c>
      <x:c r="I21" s="55" t="inlineStr">
        <x:is>
          <x:t xml:space="preserve">Critical</x:t>
        </x:is>
      </x:c>
      <x:c r="J21" s="44" t="inlineStr">
        <x:is>
          <x:t xml:space="preserve">Not Started</x:t>
        </x:is>
      </x:c>
      <x:c r="K21" s="44" t="n"/>
      <x:c r="L21" s="63" t="n"/>
      <x:c r="M21" s="64">
        <x:f>IF(L21="","",L21+7)</x:f>
      </x:c>
      <x:c r="N21" s="43" t="inlineStr">
        <x:is>
          <x:t xml:space="preserve">Milestone review for Day 30 | Prepare milestone summary</x:t>
        </x:is>
      </x:c>
    </x:row>
    <x:row r="22" s="11" customFormat="1" ht="36" customHeight="1">
      <x:c r="A22" s="51" t="inlineStr">
        <x:is>
          <x:t xml:space="preserve">W04-REAC</x:t>
        </x:is>
      </x:c>
      <x:c r="B22" s="43" t="inlineStr">
        <x:is>
          <x:t xml:space="preserve">React / Frontend</x:t>
        </x:is>
      </x:c>
      <x:c r="C22" s="54" t="inlineStr">
        <x:is>
          <x:t xml:space="preserve">Phase 1: Foundations</x:t>
        </x:is>
      </x:c>
      <x:c r="D22" s="51" t="n">
        <x:v>4</x:v>
      </x:c>
      <x:c r="E22" s="51" t="inlineStr">
        <x:is>
          <x:t xml:space="preserve">22-28</x:t>
        </x:is>
      </x:c>
      <x:c r="F22" s="43" t="inlineStr">
        <x:is>
          <x:t xml:space="preserve">Binary search/sorting/intervals, modern Java, RDS vs DynamoDB, API integration, load balancing/data scale</x:t>
        </x:is>
      </x:c>
      <x:c r="G22" s="43" t="inlineStr">
        <x:is>
          <x:t xml:space="preserve">Fetch/Axios basics; Loading and error states; Interceptors / reusable API layer; Pagination / infinite scroll; Environment configs and feature flags intro; Integrated API UI; UI polish</x:t>
        </x:is>
      </x:c>
      <x:c r="H22" s="51" t="inlineStr">
        <x:is>
          <x:t xml:space="preserve">Implement</x:t>
        </x:is>
      </x:c>
      <x:c r="I22" s="55" t="inlineStr">
        <x:is>
          <x:t xml:space="preserve">Medium</x:t>
        </x:is>
      </x:c>
      <x:c r="J22" s="44" t="inlineStr">
        <x:is>
          <x:t xml:space="preserve">Not Started</x:t>
        </x:is>
      </x:c>
      <x:c r="K22" s="44" t="n"/>
      <x:c r="L22" s="63" t="n"/>
      <x:c r="M22" s="64">
        <x:f>IF(L22="","",L22+7)</x:f>
      </x:c>
      <x:c r="N22" s="43" t="inlineStr">
        <x:is>
          <x:t xml:space="preserve">Milestone review for Day 30 | Prepare milestone summary</x:t>
        </x:is>
      </x:c>
    </x:row>
    <x:row r="23" s="11" customFormat="1" ht="36" customHeight="1">
      <x:c r="A23" s="51" t="inlineStr">
        <x:is>
          <x:t xml:space="preserve">W04-ARCH</x:t>
        </x:is>
      </x:c>
      <x:c r="B23" s="43" t="inlineStr">
        <x:is>
          <x:t xml:space="preserve">Architecture / Design</x:t>
        </x:is>
      </x:c>
      <x:c r="C23" s="54" t="inlineStr">
        <x:is>
          <x:t xml:space="preserve">Phase 1: Foundations</x:t>
        </x:is>
      </x:c>
      <x:c r="D23" s="51" t="n">
        <x:v>4</x:v>
      </x:c>
      <x:c r="E23" s="51" t="inlineStr">
        <x:is>
          <x:t xml:space="preserve">22-28</x:t>
        </x:is>
      </x:c>
      <x:c r="F23" s="43" t="inlineStr">
        <x:is>
          <x:t xml:space="preserve">Binary search/sorting/intervals, modern Java, RDS vs DynamoDB, API integration, load balancing/data scale</x:t>
        </x:is>
      </x:c>
      <x:c r="G23" s="43" t="inlineStr">
        <x:is>
          <x:t xml:space="preserve">Load balancing fundamentals; Horizontal scaling and statelessness; Partitioning and sharding basics; Consistency models and read/write trade-offs; Database scaling patterns; Design a small e-commerce architecture; Retrospective</x:t>
        </x:is>
      </x:c>
      <x:c r="H23" s="51" t="inlineStr">
        <x:is>
          <x:t xml:space="preserve">Explain + Design</x:t>
        </x:is>
      </x:c>
      <x:c r="I23" s="55" t="inlineStr">
        <x:is>
          <x:t xml:space="preserve">Critical</x:t>
        </x:is>
      </x:c>
      <x:c r="J23" s="44" t="inlineStr">
        <x:is>
          <x:t xml:space="preserve">Not Started</x:t>
        </x:is>
      </x:c>
      <x:c r="K23" s="44" t="n"/>
      <x:c r="L23" s="63" t="n"/>
      <x:c r="M23" s="64">
        <x:f>IF(L23="","",L23+7)</x:f>
      </x:c>
      <x:c r="N23" s="43" t="inlineStr">
        <x:is>
          <x:t xml:space="preserve">Milestone review for Day 30 | Prepare milestone summary</x:t>
        </x:is>
      </x:c>
    </x:row>
    <x:row r="24" s="11" customFormat="1" ht="36" customHeight="1">
      <x:c r="A24" s="51" t="inlineStr">
        <x:is>
          <x:t xml:space="preserve">W05-DSA</x:t>
        </x:is>
      </x:c>
      <x:c r="B24" s="43" t="inlineStr">
        <x:is>
          <x:t xml:space="preserve">DSA</x:t>
        </x:is>
      </x:c>
      <x:c r="C24" s="54" t="inlineStr">
        <x:is>
          <x:t xml:space="preserve">Phase 1: Foundations</x:t>
        </x:is>
      </x:c>
      <x:c r="D24" s="51" t="n">
        <x:v>5</x:v>
      </x:c>
      <x:c r="E24" s="51" t="inlineStr">
        <x:is>
          <x:t xml:space="preserve">29-35</x:t>
        </x:is>
      </x:c>
      <x:c r="F24" s="43" t="inlineStr">
        <x:is>
          <x:t xml:space="preserve">Linked list/stack/queue, Spring core, Lambda/API Gateway, advanced state, microservices basics</x:t>
        </x:is>
      </x:c>
      <x:c r="G24" s="43" t="inlineStr">
        <x:is>
          <x:t xml:space="preserve">Reverse linked list; Merge two sorted lists; Remove nth node / cycle detect; Valid parentheses / MinStack; Queue basics / sliding-window max; Weekend drill: 4 LL/stack/queue problems; Weekly review + timed set</x:t>
        </x:is>
      </x:c>
      <x:c r="H24" s="51" t="inlineStr">
        <x:is>
          <x:t xml:space="preserve">Solve + Explain</x:t>
        </x:is>
      </x:c>
      <x:c r="I24" s="55" t="inlineStr">
        <x:is>
          <x:t xml:space="preserve">High</x:t>
        </x:is>
      </x:c>
      <x:c r="J24" s="44" t="inlineStr">
        <x:is>
          <x:t xml:space="preserve">Not Started</x:t>
        </x:is>
      </x:c>
      <x:c r="K24" s="44" t="n"/>
      <x:c r="L24" s="63" t="n"/>
      <x:c r="M24" s="64">
        <x:f>IF(L24="","",L24+7)</x:f>
      </x:c>
      <x:c r="N24" s="43" t="inlineStr">
        <x:is>
          <x:t xml:space="preserve">Compare monolith vs microservice design | Update architecture notes</x:t>
        </x:is>
      </x:c>
    </x:row>
    <x:row r="25" s="11" customFormat="1" ht="36" customHeight="1">
      <x:c r="A25" s="51" t="inlineStr">
        <x:is>
          <x:t xml:space="preserve">W05-JAVA</x:t>
        </x:is>
      </x:c>
      <x:c r="B25" s="43" t="inlineStr">
        <x:is>
          <x:t xml:space="preserve">Java / Spring</x:t>
        </x:is>
      </x:c>
      <x:c r="C25" s="54" t="inlineStr">
        <x:is>
          <x:t xml:space="preserve">Phase 1: Foundations</x:t>
        </x:is>
      </x:c>
      <x:c r="D25" s="51" t="n">
        <x:v>5</x:v>
      </x:c>
      <x:c r="E25" s="51" t="inlineStr">
        <x:is>
          <x:t xml:space="preserve">29-35</x:t>
        </x:is>
      </x:c>
      <x:c r="F25" s="43" t="inlineStr">
        <x:is>
          <x:t xml:space="preserve">Linked list/stack/queue, Spring core, Lambda/API Gateway, advanced state, microservices basics</x:t>
        </x:is>
      </x:c>
      <x:c r="G25" s="43" t="inlineStr">
        <x:is>
          <x:t xml:space="preserve">Spring Boot project structure, IoC/DI; Bean lifecycle and configuration; Spring MVC controllers; Validation + global exception handling; Profiles and externalized config; Build Spring CRUD API; Spring recap</x:t>
        </x:is>
      </x:c>
      <x:c r="H25" s="51" t="inlineStr">
        <x:is>
          <x:t xml:space="preserve">Implement + Explain</x:t>
        </x:is>
      </x:c>
      <x:c r="I25" s="55" t="inlineStr">
        <x:is>
          <x:t xml:space="preserve">High</x:t>
        </x:is>
      </x:c>
      <x:c r="J25" s="44" t="inlineStr">
        <x:is>
          <x:t xml:space="preserve">Not Started</x:t>
        </x:is>
      </x:c>
      <x:c r="K25" s="44" t="n"/>
      <x:c r="L25" s="63" t="n"/>
      <x:c r="M25" s="64">
        <x:f>IF(L25="","",L25+7)</x:f>
      </x:c>
      <x:c r="N25" s="43" t="inlineStr">
        <x:is>
          <x:t xml:space="preserve">Compare monolith vs microservice design | Update architecture notes</x:t>
        </x:is>
      </x:c>
    </x:row>
    <x:row r="26" s="11" customFormat="1" ht="36" customHeight="1">
      <x:c r="A26" s="51" t="inlineStr">
        <x:is>
          <x:t xml:space="preserve">W05-AWS</x:t>
        </x:is>
      </x:c>
      <x:c r="B26" s="43" t="inlineStr">
        <x:is>
          <x:t xml:space="preserve">AWS / DevOps</x:t>
        </x:is>
      </x:c>
      <x:c r="C26" s="54" t="inlineStr">
        <x:is>
          <x:t xml:space="preserve">Phase 1: Foundations</x:t>
        </x:is>
      </x:c>
      <x:c r="D26" s="51" t="n">
        <x:v>5</x:v>
      </x:c>
      <x:c r="E26" s="51" t="inlineStr">
        <x:is>
          <x:t xml:space="preserve">29-35</x:t>
        </x:is>
      </x:c>
      <x:c r="F26" s="43" t="inlineStr">
        <x:is>
          <x:t xml:space="preserve">Linked list/stack/queue, Spring core, Lambda/API Gateway, advanced state, microservices basics</x:t>
        </x:is>
      </x:c>
      <x:c r="G26" s="43" t="inlineStr">
        <x:is>
          <x:t xml:space="preserve">Lambda basics; API Gateway basics; Lambda events and handlers; Lambda + API Gateway CRUD; Step Functions intro; Serverless hands-on lab; Serverless recap</x:t>
        </x:is>
      </x:c>
      <x:c r="H26" s="51" t="inlineStr">
        <x:is>
          <x:t xml:space="preserve">Implement + Explain</x:t>
        </x:is>
      </x:c>
      <x:c r="I26" s="55" t="inlineStr">
        <x:is>
          <x:t xml:space="preserve">Critical</x:t>
        </x:is>
      </x:c>
      <x:c r="J26" s="44" t="inlineStr">
        <x:is>
          <x:t xml:space="preserve">Not Started</x:t>
        </x:is>
      </x:c>
      <x:c r="K26" s="44" t="n"/>
      <x:c r="L26" s="63" t="n"/>
      <x:c r="M26" s="64">
        <x:f>IF(L26="","",L26+7)</x:f>
      </x:c>
      <x:c r="N26" s="43" t="inlineStr">
        <x:is>
          <x:t xml:space="preserve">Compare monolith vs microservice design | Update architecture notes</x:t>
        </x:is>
      </x:c>
    </x:row>
    <x:row r="27" s="11" customFormat="1" ht="36" customHeight="1">
      <x:c r="A27" s="51" t="inlineStr">
        <x:is>
          <x:t xml:space="preserve">W05-REAC</x:t>
        </x:is>
      </x:c>
      <x:c r="B27" s="43" t="inlineStr">
        <x:is>
          <x:t xml:space="preserve">React / Frontend</x:t>
        </x:is>
      </x:c>
      <x:c r="C27" s="54" t="inlineStr">
        <x:is>
          <x:t xml:space="preserve">Phase 1: Foundations</x:t>
        </x:is>
      </x:c>
      <x:c r="D27" s="51" t="n">
        <x:v>5</x:v>
      </x:c>
      <x:c r="E27" s="51" t="inlineStr">
        <x:is>
          <x:t xml:space="preserve">29-35</x:t>
        </x:is>
      </x:c>
      <x:c r="F27" s="43" t="inlineStr">
        <x:is>
          <x:t xml:space="preserve">Linked list/stack/queue, Spring core, Lambda/API Gateway, advanced state, microservices basics</x:t>
        </x:is>
      </x:c>
      <x:c r="G27" s="43" t="inlineStr">
        <x:is>
          <x:t xml:space="preserve">State strategy: local vs global vs server state; Redux Toolkit slices; Normalized state and selectors; RTK Query or server-state library; Optimistic updates; State-heavy feature; React recap</x:t>
        </x:is>
      </x:c>
      <x:c r="H27" s="51" t="inlineStr">
        <x:is>
          <x:t xml:space="preserve">Implement</x:t>
        </x:is>
      </x:c>
      <x:c r="I27" s="55" t="inlineStr">
        <x:is>
          <x:t xml:space="preserve">Medium</x:t>
        </x:is>
      </x:c>
      <x:c r="J27" s="44" t="inlineStr">
        <x:is>
          <x:t xml:space="preserve">Not Started</x:t>
        </x:is>
      </x:c>
      <x:c r="K27" s="44" t="n"/>
      <x:c r="L27" s="63" t="n"/>
      <x:c r="M27" s="64">
        <x:f>IF(L27="","",L27+7)</x:f>
      </x:c>
      <x:c r="N27" s="43" t="inlineStr">
        <x:is>
          <x:t xml:space="preserve">Compare monolith vs microservice design | Update architecture notes</x:t>
        </x:is>
      </x:c>
    </x:row>
    <x:row r="28" s="11" customFormat="1" ht="36" customHeight="1">
      <x:c r="A28" s="51" t="inlineStr">
        <x:is>
          <x:t xml:space="preserve">W05-ARCH</x:t>
        </x:is>
      </x:c>
      <x:c r="B28" s="43" t="inlineStr">
        <x:is>
          <x:t xml:space="preserve">Architecture / Design</x:t>
        </x:is>
      </x:c>
      <x:c r="C28" s="54" t="inlineStr">
        <x:is>
          <x:t xml:space="preserve">Phase 1: Foundations</x:t>
        </x:is>
      </x:c>
      <x:c r="D28" s="51" t="n">
        <x:v>5</x:v>
      </x:c>
      <x:c r="E28" s="51" t="inlineStr">
        <x:is>
          <x:t xml:space="preserve">29-35</x:t>
        </x:is>
      </x:c>
      <x:c r="F28" s="43" t="inlineStr">
        <x:is>
          <x:t xml:space="preserve">Linked list/stack/queue, Spring core, Lambda/API Gateway, advanced state, microservices basics</x:t>
        </x:is>
      </x:c>
      <x:c r="G28" s="43" t="inlineStr">
        <x:is>
          <x:t xml:space="preserve">Microservice decomposition principles; Sync vs async service communication; Service contracts and OpenAPI; Consumer-driven contract thinking; Saga pattern intro; Microservice sketch for same domain; Retrospective</x:t>
        </x:is>
      </x:c>
      <x:c r="H28" s="51" t="inlineStr">
        <x:is>
          <x:t xml:space="preserve">Explain + Design</x:t>
        </x:is>
      </x:c>
      <x:c r="I28" s="55" t="inlineStr">
        <x:is>
          <x:t xml:space="preserve">Critical</x:t>
        </x:is>
      </x:c>
      <x:c r="J28" s="44" t="inlineStr">
        <x:is>
          <x:t xml:space="preserve">Not Started</x:t>
        </x:is>
      </x:c>
      <x:c r="K28" s="44" t="n"/>
      <x:c r="L28" s="63" t="n"/>
      <x:c r="M28" s="64">
        <x:f>IF(L28="","",L28+7)</x:f>
      </x:c>
      <x:c r="N28" s="43" t="inlineStr">
        <x:is>
          <x:t xml:space="preserve">Compare monolith vs microservice design | Update architecture notes</x:t>
        </x:is>
      </x:c>
    </x:row>
    <x:row r="29" s="11" customFormat="1" ht="36" customHeight="1">
      <x:c r="A29" s="51" t="inlineStr">
        <x:is>
          <x:t xml:space="preserve">W06-DSA</x:t>
        </x:is>
      </x:c>
      <x:c r="B29" s="43" t="inlineStr">
        <x:is>
          <x:t xml:space="preserve">DSA</x:t>
        </x:is>
      </x:c>
      <x:c r="C29" s="54" t="inlineStr">
        <x:is>
          <x:t xml:space="preserve">Phase 2: Build Systems</x:t>
        </x:is>
      </x:c>
      <x:c r="D29" s="51" t="n">
        <x:v>6</x:v>
      </x:c>
      <x:c r="E29" s="51" t="inlineStr">
        <x:is>
          <x:t xml:space="preserve">36-42</x:t>
        </x:is>
      </x:c>
      <x:c r="F29" s="43" t="inlineStr">
        <x:is>
          <x:t xml:space="preserve">Heap/trees basics, JPA, Docker/ECS, React performance, auth/security</x:t>
        </x:is>
      </x:c>
      <x:c r="G29" s="43" t="inlineStr">
        <x:is>
          <x:t xml:space="preserve">Heap intro + kth largest; Top K frequent elements; Tree DFS traversals; Tree BFS / level order; Max depth / invert tree; Weekend drill: 4 heap/tree problems; Weekly review + timed set</x:t>
        </x:is>
      </x:c>
      <x:c r="H29" s="51" t="inlineStr">
        <x:is>
          <x:t xml:space="preserve">Solve + Explain</x:t>
        </x:is>
      </x:c>
      <x:c r="I29" s="55" t="inlineStr">
        <x:is>
          <x:t xml:space="preserve">High</x:t>
        </x:is>
      </x:c>
      <x:c r="J29" s="44" t="inlineStr">
        <x:is>
          <x:t xml:space="preserve">Not Started</x:t>
        </x:is>
      </x:c>
      <x:c r="K29" s="44" t="n"/>
      <x:c r="L29" s="63" t="n"/>
      <x:c r="M29" s="64">
        <x:f>IF(L29="","",L29+7)</x:f>
      </x:c>
      <x:c r="N29" s="43" t="inlineStr">
        <x:is>
          <x:t xml:space="preserve">Milestone: containerized app in cloud | Update cheatsheets</x:t>
        </x:is>
      </x:c>
    </x:row>
    <x:row r="30" s="11" customFormat="1" ht="36" customHeight="1">
      <x:c r="A30" s="51" t="inlineStr">
        <x:is>
          <x:t xml:space="preserve">W06-JAVA</x:t>
        </x:is>
      </x:c>
      <x:c r="B30" s="43" t="inlineStr">
        <x:is>
          <x:t xml:space="preserve">Java / Spring</x:t>
        </x:is>
      </x:c>
      <x:c r="C30" s="54" t="inlineStr">
        <x:is>
          <x:t xml:space="preserve">Phase 2: Build Systems</x:t>
        </x:is>
      </x:c>
      <x:c r="D30" s="51" t="n">
        <x:v>6</x:v>
      </x:c>
      <x:c r="E30" s="51" t="inlineStr">
        <x:is>
          <x:t xml:space="preserve">36-42</x:t>
        </x:is>
      </x:c>
      <x:c r="F30" s="43" t="inlineStr">
        <x:is>
          <x:t xml:space="preserve">Heap/trees basics, JPA, Docker/ECS, React performance, auth/security</x:t>
        </x:is>
      </x:c>
      <x:c r="G30" s="43" t="inlineStr">
        <x:is>
          <x:t xml:space="preserve">JPA entities and repositories; Relationships and fetch strategies; Transactions and propagation basics; Pagination and sorting with Spring Data; Testing REST APIs with MockMvc; JPA mini service; Persistence recap</x:t>
        </x:is>
      </x:c>
      <x:c r="H30" s="51" t="inlineStr">
        <x:is>
          <x:t xml:space="preserve">Implement + Explain</x:t>
        </x:is>
      </x:c>
      <x:c r="I30" s="55" t="inlineStr">
        <x:is>
          <x:t xml:space="preserve">High</x:t>
        </x:is>
      </x:c>
      <x:c r="J30" s="44" t="inlineStr">
        <x:is>
          <x:t xml:space="preserve">Not Started</x:t>
        </x:is>
      </x:c>
      <x:c r="K30" s="44" t="n"/>
      <x:c r="L30" s="63" t="n"/>
      <x:c r="M30" s="64">
        <x:f>IF(L30="","",L30+7)</x:f>
      </x:c>
      <x:c r="N30" s="43" t="inlineStr">
        <x:is>
          <x:t xml:space="preserve">Milestone: containerized app in cloud | Update cheatsheets</x:t>
        </x:is>
      </x:c>
    </x:row>
    <x:row r="31" s="11" customFormat="1" ht="36" customHeight="1">
      <x:c r="A31" s="51" t="inlineStr">
        <x:is>
          <x:t xml:space="preserve">W06-AWS</x:t>
        </x:is>
      </x:c>
      <x:c r="B31" s="43" t="inlineStr">
        <x:is>
          <x:t xml:space="preserve">AWS / DevOps</x:t>
        </x:is>
      </x:c>
      <x:c r="C31" s="54" t="inlineStr">
        <x:is>
          <x:t xml:space="preserve">Phase 2: Build Systems</x:t>
        </x:is>
      </x:c>
      <x:c r="D31" s="51" t="n">
        <x:v>6</x:v>
      </x:c>
      <x:c r="E31" s="51" t="inlineStr">
        <x:is>
          <x:t xml:space="preserve">36-42</x:t>
        </x:is>
      </x:c>
      <x:c r="F31" s="43" t="inlineStr">
        <x:is>
          <x:t xml:space="preserve">Heap/trees basics, JPA, Docker/ECS, React performance, auth/security</x:t>
        </x:is>
      </x:c>
      <x:c r="G31" s="43" t="inlineStr">
        <x:is>
          <x:t xml:space="preserve">Docker fundamentals; Dockerfile + multi-stage build; ECR registry; ECS / Fargate basics; ECS service deploy review; Docker + ECS deploy; Container recap</x:t>
        </x:is>
      </x:c>
      <x:c r="H31" s="51" t="inlineStr">
        <x:is>
          <x:t xml:space="preserve">Implement + Explain</x:t>
        </x:is>
      </x:c>
      <x:c r="I31" s="55" t="inlineStr">
        <x:is>
          <x:t xml:space="preserve">Critical</x:t>
        </x:is>
      </x:c>
      <x:c r="J31" s="44" t="inlineStr">
        <x:is>
          <x:t xml:space="preserve">Not Started</x:t>
        </x:is>
      </x:c>
      <x:c r="K31" s="44" t="n"/>
      <x:c r="L31" s="63" t="n"/>
      <x:c r="M31" s="64">
        <x:f>IF(L31="","",L31+7)</x:f>
      </x:c>
      <x:c r="N31" s="43" t="inlineStr">
        <x:is>
          <x:t xml:space="preserve">Milestone: containerized app in cloud | Update cheatsheets</x:t>
        </x:is>
      </x:c>
    </x:row>
    <x:row r="32" s="11" customFormat="1" ht="36" customHeight="1">
      <x:c r="A32" s="51" t="inlineStr">
        <x:is>
          <x:t xml:space="preserve">W06-REAC</x:t>
        </x:is>
      </x:c>
      <x:c r="B32" s="43" t="inlineStr">
        <x:is>
          <x:t xml:space="preserve">React / Frontend</x:t>
        </x:is>
      </x:c>
      <x:c r="C32" s="54" t="inlineStr">
        <x:is>
          <x:t xml:space="preserve">Phase 2: Build Systems</x:t>
        </x:is>
      </x:c>
      <x:c r="D32" s="51" t="n">
        <x:v>6</x:v>
      </x:c>
      <x:c r="E32" s="51" t="inlineStr">
        <x:is>
          <x:t xml:space="preserve">36-42</x:t>
        </x:is>
      </x:c>
      <x:c r="F32" s="43" t="inlineStr">
        <x:is>
          <x:t xml:space="preserve">Heap/trees basics, JPA, Docker/ECS, React performance, auth/security</x:t>
        </x:is>
      </x:c>
      <x:c r="G32" s="43" t="inlineStr">
        <x:is>
          <x:t xml:space="preserve">Render cycle and re-render debugging; useMemo; useCallback and React.memo; Lazy loading and code splitting; List virtualization; Performance audit; React perf recap</x:t>
        </x:is>
      </x:c>
      <x:c r="H32" s="51" t="inlineStr">
        <x:is>
          <x:t xml:space="preserve">Implement</x:t>
        </x:is>
      </x:c>
      <x:c r="I32" s="55" t="inlineStr">
        <x:is>
          <x:t xml:space="preserve">Support</x:t>
        </x:is>
      </x:c>
      <x:c r="J32" s="44" t="inlineStr">
        <x:is>
          <x:t xml:space="preserve">Not Started</x:t>
        </x:is>
      </x:c>
      <x:c r="K32" s="44" t="n"/>
      <x:c r="L32" s="63" t="n"/>
      <x:c r="M32" s="64">
        <x:f>IF(L32="","",L32+7)</x:f>
      </x:c>
      <x:c r="N32" s="43" t="inlineStr">
        <x:is>
          <x:t xml:space="preserve">Milestone: containerized app in cloud | Update cheatsheets</x:t>
        </x:is>
      </x:c>
    </x:row>
    <x:row r="33" s="11" customFormat="1" ht="36" customHeight="1">
      <x:c r="A33" s="51" t="inlineStr">
        <x:is>
          <x:t xml:space="preserve">W06-ARCH</x:t>
        </x:is>
      </x:c>
      <x:c r="B33" s="43" t="inlineStr">
        <x:is>
          <x:t xml:space="preserve">Architecture / Design</x:t>
        </x:is>
      </x:c>
      <x:c r="C33" s="54" t="inlineStr">
        <x:is>
          <x:t xml:space="preserve">Phase 2: Build Systems</x:t>
        </x:is>
      </x:c>
      <x:c r="D33" s="51" t="n">
        <x:v>6</x:v>
      </x:c>
      <x:c r="E33" s="51" t="inlineStr">
        <x:is>
          <x:t xml:space="preserve">36-42</x:t>
        </x:is>
      </x:c>
      <x:c r="F33" s="43" t="inlineStr">
        <x:is>
          <x:t xml:space="preserve">Heap/trees basics, JPA, Docker/ECS, React performance, auth/security</x:t>
        </x:is>
      </x:c>
      <x:c r="G33" s="43" t="inlineStr">
        <x:is>
          <x:t xml:space="preserve">Authentication vs authorization; JWT basics and token structure; OAuth2/OIDC concepts; Session vs token architecture; Password storage, secrets, secure config; Security architecture review; Retrospective</x:t>
        </x:is>
      </x:c>
      <x:c r="H33" s="51" t="inlineStr">
        <x:is>
          <x:t xml:space="preserve">Explain + Design</x:t>
        </x:is>
      </x:c>
      <x:c r="I33" s="55" t="inlineStr">
        <x:is>
          <x:t xml:space="preserve">Critical</x:t>
        </x:is>
      </x:c>
      <x:c r="J33" s="44" t="inlineStr">
        <x:is>
          <x:t xml:space="preserve">Not Started</x:t>
        </x:is>
      </x:c>
      <x:c r="K33" s="44" t="n"/>
      <x:c r="L33" s="63" t="n"/>
      <x:c r="M33" s="64">
        <x:f>IF(L33="","",L33+7)</x:f>
      </x:c>
      <x:c r="N33" s="43" t="inlineStr">
        <x:is>
          <x:t xml:space="preserve">Milestone: containerized app in cloud | Update cheatsheets</x:t>
        </x:is>
      </x:c>
    </x:row>
    <x:row r="34" s="11" customFormat="1" ht="36" customHeight="1">
      <x:c r="A34" s="51" t="inlineStr">
        <x:is>
          <x:t xml:space="preserve">W07-DSA</x:t>
        </x:is>
      </x:c>
      <x:c r="B34" s="43" t="inlineStr">
        <x:is>
          <x:t xml:space="preserve">DSA</x:t>
        </x:is>
      </x:c>
      <x:c r="C34" s="54" t="inlineStr">
        <x:is>
          <x:t xml:space="preserve">Phase 2: Build Systems</x:t>
        </x:is>
      </x:c>
      <x:c r="D34" s="51" t="n">
        <x:v>7</x:v>
      </x:c>
      <x:c r="E34" s="51" t="inlineStr">
        <x:is>
          <x:t xml:space="preserve">43-49</x:t>
        </x:is>
      </x:c>
      <x:c r="F34" s="43" t="inlineStr">
        <x:is>
          <x:t xml:space="preserve">Trees advanced, persistence tuning, messaging, UI architecture, event-driven design</x:t>
        </x:is>
      </x:c>
      <x:c r="G34" s="43" t="inlineStr">
        <x:is>
          <x:t xml:space="preserve">Tree diameter; Balanced tree; Path sum; Lowest common ancestor; Serialize/deserialize tree; Weekend drill: 4 tree problems; Weekly review + timed set</x:t>
        </x:is>
      </x:c>
      <x:c r="H34" s="51" t="inlineStr">
        <x:is>
          <x:t xml:space="preserve">Solve + Explain</x:t>
        </x:is>
      </x:c>
      <x:c r="I34" s="55" t="inlineStr">
        <x:is>
          <x:t xml:space="preserve">High</x:t>
        </x:is>
      </x:c>
      <x:c r="J34" s="44" t="inlineStr">
        <x:is>
          <x:t xml:space="preserve">Not Started</x:t>
        </x:is>
      </x:c>
      <x:c r="K34" s="44" t="n"/>
      <x:c r="L34" s="63" t="n"/>
      <x:c r="M34" s="64">
        <x:f>IF(L34="","",L34+7)</x:f>
      </x:c>
      <x:c r="N34" s="43" t="inlineStr">
        <x:is>
          <x:t xml:space="preserve">Milestone: async processing path | Update diagrams</x:t>
        </x:is>
      </x:c>
    </x:row>
    <x:row r="35" s="11" customFormat="1" ht="36" customHeight="1">
      <x:c r="A35" s="51" t="inlineStr">
        <x:is>
          <x:t xml:space="preserve">W07-JAVA</x:t>
        </x:is>
      </x:c>
      <x:c r="B35" s="43" t="inlineStr">
        <x:is>
          <x:t xml:space="preserve">Java / Spring</x:t>
        </x:is>
      </x:c>
      <x:c r="C35" s="54" t="inlineStr">
        <x:is>
          <x:t xml:space="preserve">Phase 2: Build Systems</x:t>
        </x:is>
      </x:c>
      <x:c r="D35" s="51" t="n">
        <x:v>7</x:v>
      </x:c>
      <x:c r="E35" s="51" t="inlineStr">
        <x:is>
          <x:t xml:space="preserve">43-49</x:t>
        </x:is>
      </x:c>
      <x:c r="F35" s="43" t="inlineStr">
        <x:is>
          <x:t xml:space="preserve">Trees advanced, persistence tuning, messaging, UI architecture, event-driven design</x:t>
        </x:is>
      </x:c>
      <x:c r="G35" s="43" t="inlineStr">
        <x:is>
          <x:t xml:space="preserve">Connection pools and HikariCP; Indexing and query tuning; Redis caching in Spring; Structured logging and correlation IDs; Database tests with Testcontainers; Spring service with cache + queue; Backend recap</x:t>
        </x:is>
      </x:c>
      <x:c r="H35" s="51" t="inlineStr">
        <x:is>
          <x:t xml:space="preserve">Implement + Explain</x:t>
        </x:is>
      </x:c>
      <x:c r="I35" s="55" t="inlineStr">
        <x:is>
          <x:t xml:space="preserve">High</x:t>
        </x:is>
      </x:c>
      <x:c r="J35" s="44" t="inlineStr">
        <x:is>
          <x:t xml:space="preserve">Not Started</x:t>
        </x:is>
      </x:c>
      <x:c r="K35" s="44" t="n"/>
      <x:c r="L35" s="63" t="n"/>
      <x:c r="M35" s="64">
        <x:f>IF(L35="","",L35+7)</x:f>
      </x:c>
      <x:c r="N35" s="43" t="inlineStr">
        <x:is>
          <x:t xml:space="preserve">Milestone: async processing path | Update diagrams</x:t>
        </x:is>
      </x:c>
    </x:row>
    <x:row r="36" s="11" customFormat="1" ht="36" customHeight="1">
      <x:c r="A36" s="51" t="inlineStr">
        <x:is>
          <x:t xml:space="preserve">W07-AWS</x:t>
        </x:is>
      </x:c>
      <x:c r="B36" s="43" t="inlineStr">
        <x:is>
          <x:t xml:space="preserve">AWS / DevOps</x:t>
        </x:is>
      </x:c>
      <x:c r="C36" s="54" t="inlineStr">
        <x:is>
          <x:t xml:space="preserve">Phase 2: Build Systems</x:t>
        </x:is>
      </x:c>
      <x:c r="D36" s="51" t="n">
        <x:v>7</x:v>
      </x:c>
      <x:c r="E36" s="51" t="inlineStr">
        <x:is>
          <x:t xml:space="preserve">43-49</x:t>
        </x:is>
      </x:c>
      <x:c r="F36" s="43" t="inlineStr">
        <x:is>
          <x:t xml:space="preserve">Trees advanced, persistence tuning, messaging, UI architecture, event-driven design</x:t>
        </x:is>
      </x:c>
      <x:c r="G36" s="43" t="inlineStr">
        <x:is>
          <x:t xml:space="preserve">SQS basics; SNS basics; EventBridge basics; SQS/SNS/EventBridge comparison; DLQ and retry patterns; Event pipeline lab; Messaging recap</x:t>
        </x:is>
      </x:c>
      <x:c r="H36" s="51" t="inlineStr">
        <x:is>
          <x:t xml:space="preserve">Implement + Explain</x:t>
        </x:is>
      </x:c>
      <x:c r="I36" s="55" t="inlineStr">
        <x:is>
          <x:t xml:space="preserve">Critical</x:t>
        </x:is>
      </x:c>
      <x:c r="J36" s="44" t="inlineStr">
        <x:is>
          <x:t xml:space="preserve">Not Started</x:t>
        </x:is>
      </x:c>
      <x:c r="K36" s="44" t="n"/>
      <x:c r="L36" s="63" t="n"/>
      <x:c r="M36" s="64">
        <x:f>IF(L36="","",L36+7)</x:f>
      </x:c>
      <x:c r="N36" s="43" t="inlineStr">
        <x:is>
          <x:t xml:space="preserve">Milestone: async processing path | Update diagrams</x:t>
        </x:is>
      </x:c>
    </x:row>
    <x:row r="37" s="11" customFormat="1" ht="36" customHeight="1">
      <x:c r="A37" s="51" t="inlineStr">
        <x:is>
          <x:t xml:space="preserve">W07-REAC</x:t>
        </x:is>
      </x:c>
      <x:c r="B37" s="43" t="inlineStr">
        <x:is>
          <x:t xml:space="preserve">React / Frontend</x:t>
        </x:is>
      </x:c>
      <x:c r="C37" s="54" t="inlineStr">
        <x:is>
          <x:t xml:space="preserve">Phase 2: Build Systems</x:t>
        </x:is>
      </x:c>
      <x:c r="D37" s="51" t="n">
        <x:v>7</x:v>
      </x:c>
      <x:c r="E37" s="51" t="inlineStr">
        <x:is>
          <x:t xml:space="preserve">43-49</x:t>
        </x:is>
      </x:c>
      <x:c r="F37" s="43" t="inlineStr">
        <x:is>
          <x:t xml:space="preserve">Trees advanced, persistence tuning, messaging, UI architecture, event-driven design</x:t>
        </x:is>
      </x:c>
      <x:c r="G37" s="43" t="inlineStr">
        <x:is>
          <x:t xml:space="preserve">Folder structure for scale; Reusable component patterns; Design-system fundamentals; Accessibility basics; Theming and token system; Component library starter; UI architecture recap</x:t>
        </x:is>
      </x:c>
      <x:c r="H37" s="51" t="inlineStr">
        <x:is>
          <x:t xml:space="preserve">Implement</x:t>
        </x:is>
      </x:c>
      <x:c r="I37" s="55" t="inlineStr">
        <x:is>
          <x:t xml:space="preserve">Support</x:t>
        </x:is>
      </x:c>
      <x:c r="J37" s="44" t="inlineStr">
        <x:is>
          <x:t xml:space="preserve">Not Started</x:t>
        </x:is>
      </x:c>
      <x:c r="K37" s="44" t="n"/>
      <x:c r="L37" s="63" t="n"/>
      <x:c r="M37" s="64">
        <x:f>IF(L37="","",L37+7)</x:f>
      </x:c>
      <x:c r="N37" s="43" t="inlineStr">
        <x:is>
          <x:t xml:space="preserve">Milestone: async processing path | Update diagrams</x:t>
        </x:is>
      </x:c>
    </x:row>
    <x:row r="38" s="11" customFormat="1" ht="36" customHeight="1">
      <x:c r="A38" s="51" t="inlineStr">
        <x:is>
          <x:t xml:space="preserve">W07-ARCH</x:t>
        </x:is>
      </x:c>
      <x:c r="B38" s="43" t="inlineStr">
        <x:is>
          <x:t xml:space="preserve">Architecture / Design</x:t>
        </x:is>
      </x:c>
      <x:c r="C38" s="54" t="inlineStr">
        <x:is>
          <x:t xml:space="preserve">Phase 2: Build Systems</x:t>
        </x:is>
      </x:c>
      <x:c r="D38" s="51" t="n">
        <x:v>7</x:v>
      </x:c>
      <x:c r="E38" s="51" t="inlineStr">
        <x:is>
          <x:t xml:space="preserve">43-49</x:t>
        </x:is>
      </x:c>
      <x:c r="F38" s="43" t="inlineStr">
        <x:is>
          <x:t xml:space="preserve">Trees advanced, persistence tuning, messaging, UI architecture, event-driven design</x:t>
        </x:is>
      </x:c>
      <x:c r="G38" s="43" t="inlineStr">
        <x:is>
          <x:t xml:space="preserve">Event-driven vs request-response; Eventual consistency; Outbox pattern; Idempotency and retries; Domain events and schema evolution; Event-driven design review; Retrospective</x:t>
        </x:is>
      </x:c>
      <x:c r="H38" s="51" t="inlineStr">
        <x:is>
          <x:t xml:space="preserve">Explain + Design</x:t>
        </x:is>
      </x:c>
      <x:c r="I38" s="55" t="inlineStr">
        <x:is>
          <x:t xml:space="preserve">Critical</x:t>
        </x:is>
      </x:c>
      <x:c r="J38" s="44" t="inlineStr">
        <x:is>
          <x:t xml:space="preserve">Not Started</x:t>
        </x:is>
      </x:c>
      <x:c r="K38" s="44" t="n"/>
      <x:c r="L38" s="63" t="n"/>
      <x:c r="M38" s="64">
        <x:f>IF(L38="","",L38+7)</x:f>
      </x:c>
      <x:c r="N38" s="43" t="inlineStr">
        <x:is>
          <x:t xml:space="preserve">Milestone: async processing path | Update diagrams</x:t>
        </x:is>
      </x:c>
    </x:row>
    <x:row r="39" s="11" customFormat="1" ht="36" customHeight="1">
      <x:c r="A39" s="51" t="inlineStr">
        <x:is>
          <x:t xml:space="preserve">W08-DSA</x:t>
        </x:is>
      </x:c>
      <x:c r="B39" s="43" t="inlineStr">
        <x:is>
          <x:t xml:space="preserve">DSA</x:t>
        </x:is>
      </x:c>
      <x:c r="C39" s="54" t="inlineStr">
        <x:is>
          <x:t xml:space="preserve">Phase 2: Build Systems</x:t>
        </x:is>
      </x:c>
      <x:c r="D39" s="51" t="n">
        <x:v>8</x:v>
      </x:c>
      <x:c r="E39" s="51" t="inlineStr">
        <x:is>
          <x:t xml:space="preserve">50-56</x:t>
        </x:is>
      </x:c>
      <x:c r="F39" s="43" t="inlineStr">
        <x:is>
          <x:t xml:space="preserve">Graphs, Spring Cloud patterns, observability, frontend testing, reliability</x:t>
        </x:is>
      </x:c>
      <x:c r="G39" s="43" t="inlineStr">
        <x:is>
          <x:t xml:space="preserve">Graph representation + BFS; DFS / connected components; Number of Islands; Course Schedule / topo sort; Clone Graph; Weekend drill: 4 graph problems; Weekly review + timed set</x:t>
        </x:is>
      </x:c>
      <x:c r="H39" s="51" t="inlineStr">
        <x:is>
          <x:t xml:space="preserve">Solve + Explain</x:t>
        </x:is>
      </x:c>
      <x:c r="I39" s="55" t="inlineStr">
        <x:is>
          <x:t xml:space="preserve">High</x:t>
        </x:is>
      </x:c>
      <x:c r="J39" s="44" t="inlineStr">
        <x:is>
          <x:t xml:space="preserve">Not Started</x:t>
        </x:is>
      </x:c>
      <x:c r="K39" s="44" t="n"/>
      <x:c r="L39" s="63" t="n"/>
      <x:c r="M39" s="64">
        <x:f>IF(L39="","",L39+7)</x:f>
      </x:c>
      <x:c r="N39" s="43" t="inlineStr">
        <x:is>
          <x:t xml:space="preserve">Milestone: observable service | Update runbook</x:t>
        </x:is>
      </x:c>
    </x:row>
    <x:row r="40" s="11" customFormat="1" ht="36" customHeight="1">
      <x:c r="A40" s="51" t="inlineStr">
        <x:is>
          <x:t xml:space="preserve">W08-JAVA</x:t>
        </x:is>
      </x:c>
      <x:c r="B40" s="43" t="inlineStr">
        <x:is>
          <x:t xml:space="preserve">Java / Spring</x:t>
        </x:is>
      </x:c>
      <x:c r="C40" s="54" t="inlineStr">
        <x:is>
          <x:t xml:space="preserve">Phase 2: Build Systems</x:t>
        </x:is>
      </x:c>
      <x:c r="D40" s="51" t="n">
        <x:v>8</x:v>
      </x:c>
      <x:c r="E40" s="51" t="inlineStr">
        <x:is>
          <x:t xml:space="preserve">50-56</x:t>
        </x:is>
      </x:c>
      <x:c r="F40" s="43" t="inlineStr">
        <x:is>
          <x:t xml:space="preserve">Graphs, Spring Cloud patterns, observability, frontend testing, reliability</x:t>
        </x:is>
      </x:c>
      <x:c r="G40" s="43" t="inlineStr">
        <x:is>
          <x:t xml:space="preserve">Feign and client abstractions; Gateway pattern for services; Central config pattern; Service discovery or registry pattern; Resilience4j circuit breaker + retry; Instrument one microservice; Microservice recap</x:t>
        </x:is>
      </x:c>
      <x:c r="H40" s="51" t="inlineStr">
        <x:is>
          <x:t xml:space="preserve">Implement + Explain</x:t>
        </x:is>
      </x:c>
      <x:c r="I40" s="55" t="inlineStr">
        <x:is>
          <x:t xml:space="preserve">High</x:t>
        </x:is>
      </x:c>
      <x:c r="J40" s="44" t="inlineStr">
        <x:is>
          <x:t xml:space="preserve">Not Started</x:t>
        </x:is>
      </x:c>
      <x:c r="K40" s="44" t="n"/>
      <x:c r="L40" s="63" t="n"/>
      <x:c r="M40" s="64">
        <x:f>IF(L40="","",L40+7)</x:f>
      </x:c>
      <x:c r="N40" s="43" t="inlineStr">
        <x:is>
          <x:t xml:space="preserve">Milestone: observable service | Update runbook</x:t>
        </x:is>
      </x:c>
    </x:row>
    <x:row r="41" s="11" customFormat="1" ht="36" customHeight="1">
      <x:c r="A41" s="51" t="inlineStr">
        <x:is>
          <x:t xml:space="preserve">W08-AWS</x:t>
        </x:is>
      </x:c>
      <x:c r="B41" s="43" t="inlineStr">
        <x:is>
          <x:t xml:space="preserve">AWS / DevOps</x:t>
        </x:is>
      </x:c>
      <x:c r="C41" s="54" t="inlineStr">
        <x:is>
          <x:t xml:space="preserve">Phase 2: Build Systems</x:t>
        </x:is>
      </x:c>
      <x:c r="D41" s="51" t="n">
        <x:v>8</x:v>
      </x:c>
      <x:c r="E41" s="51" t="inlineStr">
        <x:is>
          <x:t xml:space="preserve">50-56</x:t>
        </x:is>
      </x:c>
      <x:c r="F41" s="43" t="inlineStr">
        <x:is>
          <x:t xml:space="preserve">Graphs, Spring Cloud patterns, observability, frontend testing, reliability</x:t>
        </x:is>
      </x:c>
      <x:c r="G41" s="43" t="inlineStr">
        <x:is>
          <x:t xml:space="preserve">CloudWatch logs and metrics; Alarms and dashboards; Tracing concepts and AWS X-Ray; Centralized logging pipeline; Health checks and autoscaling signals; Observe app in AWS; Observability recap</x:t>
        </x:is>
      </x:c>
      <x:c r="H41" s="51" t="inlineStr">
        <x:is>
          <x:t xml:space="preserve">Implement + Explain</x:t>
        </x:is>
      </x:c>
      <x:c r="I41" s="55" t="inlineStr">
        <x:is>
          <x:t xml:space="preserve">Critical</x:t>
        </x:is>
      </x:c>
      <x:c r="J41" s="44" t="inlineStr">
        <x:is>
          <x:t xml:space="preserve">Not Started</x:t>
        </x:is>
      </x:c>
      <x:c r="K41" s="44" t="n"/>
      <x:c r="L41" s="63" t="n"/>
      <x:c r="M41" s="64">
        <x:f>IF(L41="","",L41+7)</x:f>
      </x:c>
      <x:c r="N41" s="43" t="inlineStr">
        <x:is>
          <x:t xml:space="preserve">Milestone: observable service | Update runbook</x:t>
        </x:is>
      </x:c>
    </x:row>
    <x:row r="42" s="11" customFormat="1" ht="36" customHeight="1">
      <x:c r="A42" s="51" t="inlineStr">
        <x:is>
          <x:t xml:space="preserve">W08-REAC</x:t>
        </x:is>
      </x:c>
      <x:c r="B42" s="43" t="inlineStr">
        <x:is>
          <x:t xml:space="preserve">React / Frontend</x:t>
        </x:is>
      </x:c>
      <x:c r="C42" s="54" t="inlineStr">
        <x:is>
          <x:t xml:space="preserve">Phase 2: Build Systems</x:t>
        </x:is>
      </x:c>
      <x:c r="D42" s="51" t="n">
        <x:v>8</x:v>
      </x:c>
      <x:c r="E42" s="51" t="inlineStr">
        <x:is>
          <x:t xml:space="preserve">50-56</x:t>
        </x:is>
      </x:c>
      <x:c r="F42" s="43" t="inlineStr">
        <x:is>
          <x:t xml:space="preserve">Graphs, Spring Cloud patterns, observability, frontend testing, reliability</x:t>
        </x:is>
      </x:c>
      <x:c r="G42" s="43" t="inlineStr">
        <x:is>
          <x:t xml:space="preserve">Jest basics; React Testing Library basics; Component tests; Integration tests with API mocks; E2E basics; Test one full flow; Testing recap</x:t>
        </x:is>
      </x:c>
      <x:c r="H42" s="51" t="inlineStr">
        <x:is>
          <x:t xml:space="preserve">Implement</x:t>
        </x:is>
      </x:c>
      <x:c r="I42" s="55" t="inlineStr">
        <x:is>
          <x:t xml:space="preserve">Support</x:t>
        </x:is>
      </x:c>
      <x:c r="J42" s="44" t="inlineStr">
        <x:is>
          <x:t xml:space="preserve">Not Started</x:t>
        </x:is>
      </x:c>
      <x:c r="K42" s="44" t="n"/>
      <x:c r="L42" s="63" t="n"/>
      <x:c r="M42" s="64">
        <x:f>IF(L42="","",L42+7)</x:f>
      </x:c>
      <x:c r="N42" s="43" t="inlineStr">
        <x:is>
          <x:t xml:space="preserve">Milestone: observable service | Update runbook</x:t>
        </x:is>
      </x:c>
    </x:row>
    <x:row r="43" s="11" customFormat="1" ht="36" customHeight="1">
      <x:c r="A43" s="51" t="inlineStr">
        <x:is>
          <x:t xml:space="preserve">W08-ARCH</x:t>
        </x:is>
      </x:c>
      <x:c r="B43" s="43" t="inlineStr">
        <x:is>
          <x:t xml:space="preserve">Architecture / Design</x:t>
        </x:is>
      </x:c>
      <x:c r="C43" s="54" t="inlineStr">
        <x:is>
          <x:t xml:space="preserve">Phase 2: Build Systems</x:t>
        </x:is>
      </x:c>
      <x:c r="D43" s="51" t="n">
        <x:v>8</x:v>
      </x:c>
      <x:c r="E43" s="51" t="inlineStr">
        <x:is>
          <x:t xml:space="preserve">50-56</x:t>
        </x:is>
      </x:c>
      <x:c r="F43" s="43" t="inlineStr">
        <x:is>
          <x:t xml:space="preserve">Graphs, Spring Cloud patterns, observability, frontend testing, reliability</x:t>
        </x:is>
      </x:c>
      <x:c r="G43" s="43" t="inlineStr">
        <x:is>
          <x:t xml:space="preserve">SLIs, SLOs, SLAs; Resilience patterns overview; Timeouts, retries, circuit breakers; Bulkhead and backpressure; Failure modes and chaos thinking; Reliability review; Retrospective</x:t>
        </x:is>
      </x:c>
      <x:c r="H43" s="51" t="inlineStr">
        <x:is>
          <x:t xml:space="preserve">Explain + Design</x:t>
        </x:is>
      </x:c>
      <x:c r="I43" s="55" t="inlineStr">
        <x:is>
          <x:t xml:space="preserve">Critical</x:t>
        </x:is>
      </x:c>
      <x:c r="J43" s="44" t="inlineStr">
        <x:is>
          <x:t xml:space="preserve">Not Started</x:t>
        </x:is>
      </x:c>
      <x:c r="K43" s="44" t="n"/>
      <x:c r="L43" s="63" t="n"/>
      <x:c r="M43" s="64">
        <x:f>IF(L43="","",L43+7)</x:f>
      </x:c>
      <x:c r="N43" s="43" t="inlineStr">
        <x:is>
          <x:t xml:space="preserve">Milestone: observable service | Update runbook</x:t>
        </x:is>
      </x:c>
    </x:row>
    <x:row r="44" s="11" customFormat="1" ht="36" customHeight="1">
      <x:c r="A44" s="51" t="inlineStr">
        <x:is>
          <x:t xml:space="preserve">W09-DSA</x:t>
        </x:is>
      </x:c>
      <x:c r="B44" s="43" t="inlineStr">
        <x:is>
          <x:t xml:space="preserve">DSA</x:t>
        </x:is>
      </x:c>
      <x:c r="C44" s="54" t="inlineStr">
        <x:is>
          <x:t xml:space="preserve">Phase 2: Build Systems</x:t>
        </x:is>
      </x:c>
      <x:c r="D44" s="51" t="n">
        <x:v>9</x:v>
      </x:c>
      <x:c r="E44" s="51" t="inlineStr">
        <x:is>
          <x:t xml:space="preserve">57-63</x:t>
        </x:is>
      </x:c>
      <x:c r="F44" s="43" t="inlineStr">
        <x:is>
          <x:t xml:space="preserve">DP basics, async Java, Redis patterns, TypeScript basics, caching strategy</x:t>
        </x:is>
      </x:c>
      <x:c r="G44" s="43" t="inlineStr">
        <x:is>
          <x:t xml:space="preserve">Fibonacci / DP state; Climbing Stairs; House Robber; Unique Paths; Coin Change; Weekend drill: 4 DP problems; Weekly review + timed set</x:t>
        </x:is>
      </x:c>
      <x:c r="H44" s="51" t="inlineStr">
        <x:is>
          <x:t xml:space="preserve">Solve + Explain</x:t>
        </x:is>
      </x:c>
      <x:c r="I44" s="55" t="inlineStr">
        <x:is>
          <x:t xml:space="preserve">High</x:t>
        </x:is>
      </x:c>
      <x:c r="J44" s="44" t="inlineStr">
        <x:is>
          <x:t xml:space="preserve">Not Started</x:t>
        </x:is>
      </x:c>
      <x:c r="K44" s="44" t="n"/>
      <x:c r="L44" s="63" t="n"/>
      <x:c r="M44" s="64">
        <x:f>IF(L44="","",L44+7)</x:f>
      </x:c>
      <x:c r="N44" s="43" t="inlineStr">
        <x:is>
          <x:t xml:space="preserve">Milestone: cache-backed async feature | Update cheatsheets</x:t>
        </x:is>
      </x:c>
    </x:row>
    <x:row r="45" s="11" customFormat="1" ht="36" customHeight="1">
      <x:c r="A45" s="51" t="inlineStr">
        <x:is>
          <x:t xml:space="preserve">W09-JAVA</x:t>
        </x:is>
      </x:c>
      <x:c r="B45" s="43" t="inlineStr">
        <x:is>
          <x:t xml:space="preserve">Java / Spring</x:t>
        </x:is>
      </x:c>
      <x:c r="C45" s="54" t="inlineStr">
        <x:is>
          <x:t xml:space="preserve">Phase 2: Build Systems</x:t>
        </x:is>
      </x:c>
      <x:c r="D45" s="51" t="n">
        <x:v>9</x:v>
      </x:c>
      <x:c r="E45" s="51" t="inlineStr">
        <x:is>
          <x:t xml:space="preserve">57-63</x:t>
        </x:is>
      </x:c>
      <x:c r="F45" s="43" t="inlineStr">
        <x:is>
          <x:t xml:space="preserve">DP basics, async Java, Redis patterns, TypeScript basics, caching strategy</x:t>
        </x:is>
      </x:c>
      <x:c r="G45" s="43" t="inlineStr">
        <x:is>
          <x:t xml:space="preserve">Async APIs with CompletableFuture; Virtual threads vs pool decisions; Producer-consumer concurrency pattern; Asynchronous event processor; Async error handling and cancellation; Async pipeline mini-project; Async recap</x:t>
        </x:is>
      </x:c>
      <x:c r="H45" s="51" t="inlineStr">
        <x:is>
          <x:t xml:space="preserve">Implement + Explain</x:t>
        </x:is>
      </x:c>
      <x:c r="I45" s="55" t="inlineStr">
        <x:is>
          <x:t xml:space="preserve">High</x:t>
        </x:is>
      </x:c>
      <x:c r="J45" s="44" t="inlineStr">
        <x:is>
          <x:t xml:space="preserve">Not Started</x:t>
        </x:is>
      </x:c>
      <x:c r="K45" s="44" t="n"/>
      <x:c r="L45" s="63" t="n"/>
      <x:c r="M45" s="64">
        <x:f>IF(L45="","",L45+7)</x:f>
      </x:c>
      <x:c r="N45" s="43" t="inlineStr">
        <x:is>
          <x:t xml:space="preserve">Milestone: cache-backed async feature | Update cheatsheets</x:t>
        </x:is>
      </x:c>
    </x:row>
    <x:row r="46" s="11" customFormat="1" ht="36" customHeight="1">
      <x:c r="A46" s="51" t="inlineStr">
        <x:is>
          <x:t xml:space="preserve">W09-AWS</x:t>
        </x:is>
      </x:c>
      <x:c r="B46" s="43" t="inlineStr">
        <x:is>
          <x:t xml:space="preserve">AWS / DevOps</x:t>
        </x:is>
      </x:c>
      <x:c r="C46" s="54" t="inlineStr">
        <x:is>
          <x:t xml:space="preserve">Phase 2: Build Systems</x:t>
        </x:is>
      </x:c>
      <x:c r="D46" s="51" t="n">
        <x:v>9</x:v>
      </x:c>
      <x:c r="E46" s="51" t="inlineStr">
        <x:is>
          <x:t xml:space="preserve">57-63</x:t>
        </x:is>
      </x:c>
      <x:c r="F46" s="43" t="inlineStr">
        <x:is>
          <x:t xml:space="preserve">DP basics, async Java, Redis patterns, TypeScript basics, caching strategy</x:t>
        </x:is>
      </x:c>
      <x:c r="G46" s="43" t="inlineStr">
        <x:is>
          <x:t xml:space="preserve">Redis basics / ElastiCache concepts; Redis cache/session patterns; TTL, eviction, hot key issues; Benchmark cache impact; CDN vs API cache recap; Redis with Spring + AWS review; Cache recap</x:t>
        </x:is>
      </x:c>
      <x:c r="H46" s="51" t="inlineStr">
        <x:is>
          <x:t xml:space="preserve">Implement + Explain</x:t>
        </x:is>
      </x:c>
      <x:c r="I46" s="55" t="inlineStr">
        <x:is>
          <x:t xml:space="preserve">Critical</x:t>
        </x:is>
      </x:c>
      <x:c r="J46" s="44" t="inlineStr">
        <x:is>
          <x:t xml:space="preserve">Not Started</x:t>
        </x:is>
      </x:c>
      <x:c r="K46" s="44" t="n"/>
      <x:c r="L46" s="63" t="n"/>
      <x:c r="M46" s="64">
        <x:f>IF(L46="","",L46+7)</x:f>
      </x:c>
      <x:c r="N46" s="43" t="inlineStr">
        <x:is>
          <x:t xml:space="preserve">Milestone: cache-backed async feature | Update cheatsheets</x:t>
        </x:is>
      </x:c>
    </x:row>
    <x:row r="47" s="11" customFormat="1" ht="36" customHeight="1">
      <x:c r="A47" s="51" t="inlineStr">
        <x:is>
          <x:t xml:space="preserve">W09-REAC</x:t>
        </x:is>
      </x:c>
      <x:c r="B47" s="43" t="inlineStr">
        <x:is>
          <x:t xml:space="preserve">React / Frontend</x:t>
        </x:is>
      </x:c>
      <x:c r="C47" s="54" t="inlineStr">
        <x:is>
          <x:t xml:space="preserve">Phase 2: Build Systems</x:t>
        </x:is>
      </x:c>
      <x:c r="D47" s="51" t="n">
        <x:v>9</x:v>
      </x:c>
      <x:c r="E47" s="51" t="inlineStr">
        <x:is>
          <x:t xml:space="preserve">57-63</x:t>
        </x:is>
      </x:c>
      <x:c r="F47" s="43" t="inlineStr">
        <x:is>
          <x:t xml:space="preserve">DP basics, async Java, Redis patterns, TypeScript basics, caching strategy</x:t>
        </x:is>
      </x:c>
      <x:c r="G47" s="43" t="inlineStr">
        <x:is>
          <x:t xml:space="preserve">TypeScript basics for React; Typing props and state; Typing API responses; Generics in TS; Strict mode / tsconfig cleanup; TS refactor day; TS recap</x:t>
        </x:is>
      </x:c>
      <x:c r="H47" s="51" t="inlineStr">
        <x:is>
          <x:t xml:space="preserve">Implement</x:t>
        </x:is>
      </x:c>
      <x:c r="I47" s="55" t="inlineStr">
        <x:is>
          <x:t xml:space="preserve">Support</x:t>
        </x:is>
      </x:c>
      <x:c r="J47" s="44" t="inlineStr">
        <x:is>
          <x:t xml:space="preserve">Not Started</x:t>
        </x:is>
      </x:c>
      <x:c r="K47" s="44" t="n"/>
      <x:c r="L47" s="63" t="n"/>
      <x:c r="M47" s="64">
        <x:f>IF(L47="","",L47+7)</x:f>
      </x:c>
      <x:c r="N47" s="43" t="inlineStr">
        <x:is>
          <x:t xml:space="preserve">Milestone: cache-backed async feature | Update cheatsheets</x:t>
        </x:is>
      </x:c>
    </x:row>
    <x:row r="48" s="11" customFormat="1" ht="36" customHeight="1">
      <x:c r="A48" s="51" t="inlineStr">
        <x:is>
          <x:t xml:space="preserve">W09-ARCH</x:t>
        </x:is>
      </x:c>
      <x:c r="B48" s="43" t="inlineStr">
        <x:is>
          <x:t xml:space="preserve">Architecture / Design</x:t>
        </x:is>
      </x:c>
      <x:c r="C48" s="54" t="inlineStr">
        <x:is>
          <x:t xml:space="preserve">Phase 2: Build Systems</x:t>
        </x:is>
      </x:c>
      <x:c r="D48" s="51" t="n">
        <x:v>9</x:v>
      </x:c>
      <x:c r="E48" s="51" t="inlineStr">
        <x:is>
          <x:t xml:space="preserve">57-63</x:t>
        </x:is>
      </x:c>
      <x:c r="F48" s="43" t="inlineStr">
        <x:is>
          <x:t xml:space="preserve">DP basics, async Java, Redis patterns, TypeScript basics, caching strategy</x:t>
        </x:is>
      </x:c>
      <x:c r="G48" s="43" t="inlineStr">
        <x:is>
          <x:t xml:space="preserve">Caching strategy selection; Read-through vs write-through cache; Cache invalidation; Cache stampede / request coalescing; Choosing cache boundaries; Cache design review; Retrospective</x:t>
        </x:is>
      </x:c>
      <x:c r="H48" s="51" t="inlineStr">
        <x:is>
          <x:t xml:space="preserve">Explain + Design</x:t>
        </x:is>
      </x:c>
      <x:c r="I48" s="55" t="inlineStr">
        <x:is>
          <x:t xml:space="preserve">Critical</x:t>
        </x:is>
      </x:c>
      <x:c r="J48" s="44" t="inlineStr">
        <x:is>
          <x:t xml:space="preserve">Not Started</x:t>
        </x:is>
      </x:c>
      <x:c r="K48" s="44" t="n"/>
      <x:c r="L48" s="63" t="n"/>
      <x:c r="M48" s="64">
        <x:f>IF(L48="","",L48+7)</x:f>
      </x:c>
      <x:c r="N48" s="43" t="inlineStr">
        <x:is>
          <x:t xml:space="preserve">Milestone: cache-backed async feature | Update cheatsheets</x:t>
        </x:is>
      </x:c>
    </x:row>
    <x:row r="49" s="11" customFormat="1" ht="36" customHeight="1">
      <x:c r="A49" s="51" t="inlineStr">
        <x:is>
          <x:t xml:space="preserve">W10-DSA</x:t>
        </x:is>
      </x:c>
      <x:c r="B49" s="43" t="inlineStr">
        <x:is>
          <x:t xml:space="preserve">DSA</x:t>
        </x:is>
      </x:c>
      <x:c r="C49" s="54" t="inlineStr">
        <x:is>
          <x:t xml:space="preserve">Phase 3: Operate &amp; Scale</x:t>
        </x:is>
      </x:c>
      <x:c r="D49" s="51" t="n">
        <x:v>10</x:v>
      </x:c>
      <x:c r="E49" s="51" t="inlineStr">
        <x:is>
          <x:t xml:space="preserve">64-70</x:t>
        </x:is>
      </x:c>
      <x:c r="F49" s="43" t="inlineStr">
        <x:is>
          <x:t xml:space="preserve">DP advanced, resilience, EKS concepts, design system, distributed transactions</x:t>
        </x:is>
      </x:c>
      <x:c r="G49" s="43" t="inlineStr">
        <x:is>
          <x:t xml:space="preserve">0/1 knapsack; LCS; Edit distance; DP on strings/grid; Greedy interval crossover; Weekend drill: advanced DP; Weekly review + timed set</x:t>
        </x:is>
      </x:c>
      <x:c r="H49" s="51" t="inlineStr">
        <x:is>
          <x:t xml:space="preserve">Solve + Explain</x:t>
        </x:is>
      </x:c>
      <x:c r="I49" s="55" t="inlineStr">
        <x:is>
          <x:t xml:space="preserve">High</x:t>
        </x:is>
      </x:c>
      <x:c r="J49" s="44" t="inlineStr">
        <x:is>
          <x:t xml:space="preserve">Not Started</x:t>
        </x:is>
      </x:c>
      <x:c r="K49" s="44" t="n"/>
      <x:c r="L49" s="63" t="n"/>
      <x:c r="M49" s="64">
        <x:f>IF(L49="","",L49+7)</x:f>
      </x:c>
      <x:c r="N49" s="43" t="inlineStr">
        <x:is>
          <x:t xml:space="preserve">Milestone: resilient service patterns | Update ADRs</x:t>
        </x:is>
      </x:c>
    </x:row>
    <x:row r="50" s="11" customFormat="1" ht="36" customHeight="1">
      <x:c r="A50" s="51" t="inlineStr">
        <x:is>
          <x:t xml:space="preserve">W10-JAVA</x:t>
        </x:is>
      </x:c>
      <x:c r="B50" s="43" t="inlineStr">
        <x:is>
          <x:t xml:space="preserve">Java / Spring</x:t>
        </x:is>
      </x:c>
      <x:c r="C50" s="54" t="inlineStr">
        <x:is>
          <x:t xml:space="preserve">Phase 3: Operate &amp; Scale</x:t>
        </x:is>
      </x:c>
      <x:c r="D50" s="51" t="n">
        <x:v>10</x:v>
      </x:c>
      <x:c r="E50" s="51" t="inlineStr">
        <x:is>
          <x:t xml:space="preserve">64-70</x:t>
        </x:is>
      </x:c>
      <x:c r="F50" s="43" t="inlineStr">
        <x:is>
          <x:t xml:space="preserve">DP advanced, resilience, EKS concepts, design system, distributed transactions</x:t>
        </x:is>
      </x:c>
      <x:c r="G50" s="43" t="inlineStr">
        <x:is>
          <x:t xml:space="preserve">Circuit breaker tuning; Retries, timeouts, fallbacks; Bulkhead and rate limiting; Load testing basics and performance profiling; Graceful degradation patterns; Resilience lab in Spring; Resilience recap</x:t>
        </x:is>
      </x:c>
      <x:c r="H50" s="51" t="inlineStr">
        <x:is>
          <x:t xml:space="preserve">Implement + Explain</x:t>
        </x:is>
      </x:c>
      <x:c r="I50" s="55" t="inlineStr">
        <x:is>
          <x:t xml:space="preserve">High</x:t>
        </x:is>
      </x:c>
      <x:c r="J50" s="44" t="inlineStr">
        <x:is>
          <x:t xml:space="preserve">Not Started</x:t>
        </x:is>
      </x:c>
      <x:c r="K50" s="44" t="n"/>
      <x:c r="L50" s="63" t="n"/>
      <x:c r="M50" s="64">
        <x:f>IF(L50="","",L50+7)</x:f>
      </x:c>
      <x:c r="N50" s="43" t="inlineStr">
        <x:is>
          <x:t xml:space="preserve">Milestone: resilient service patterns | Update ADRs</x:t>
        </x:is>
      </x:c>
    </x:row>
    <x:row r="51" s="11" customFormat="1" ht="36" customHeight="1">
      <x:c r="A51" s="51" t="inlineStr">
        <x:is>
          <x:t xml:space="preserve">W10-AWS</x:t>
        </x:is>
      </x:c>
      <x:c r="B51" s="43" t="inlineStr">
        <x:is>
          <x:t xml:space="preserve">AWS / DevOps</x:t>
        </x:is>
      </x:c>
      <x:c r="C51" s="54" t="inlineStr">
        <x:is>
          <x:t xml:space="preserve">Phase 3: Operate &amp; Scale</x:t>
        </x:is>
      </x:c>
      <x:c r="D51" s="51" t="n">
        <x:v>10</x:v>
      </x:c>
      <x:c r="E51" s="51" t="inlineStr">
        <x:is>
          <x:t xml:space="preserve">64-70</x:t>
        </x:is>
      </x:c>
      <x:c r="F51" s="43" t="inlineStr">
        <x:is>
          <x:t xml:space="preserve">DP advanced, resilience, EKS concepts, design system, distributed transactions</x:t>
        </x:is>
      </x:c>
      <x:c r="G51" s="43" t="inlineStr">
        <x:is>
          <x:t xml:space="preserve">EKS concepts and trade-offs; Kubernetes pods/services basics; Ingress/config maps/secrets; ECS vs EKS decision; Container orchestration recap; K8s walkthrough / compare with ECS; Container recap</x:t>
        </x:is>
      </x:c>
      <x:c r="H51" s="51" t="inlineStr">
        <x:is>
          <x:t xml:space="preserve">Implement + Explain</x:t>
        </x:is>
      </x:c>
      <x:c r="I51" s="55" t="inlineStr">
        <x:is>
          <x:t xml:space="preserve">Critical</x:t>
        </x:is>
      </x:c>
      <x:c r="J51" s="44" t="inlineStr">
        <x:is>
          <x:t xml:space="preserve">Not Started</x:t>
        </x:is>
      </x:c>
      <x:c r="K51" s="44" t="n"/>
      <x:c r="L51" s="63" t="n"/>
      <x:c r="M51" s="64">
        <x:f>IF(L51="","",L51+7)</x:f>
      </x:c>
      <x:c r="N51" s="43" t="inlineStr">
        <x:is>
          <x:t xml:space="preserve">Milestone: resilient service patterns | Update ADRs</x:t>
        </x:is>
      </x:c>
    </x:row>
    <x:row r="52" s="11" customFormat="1" ht="36" customHeight="1">
      <x:c r="A52" s="51" t="inlineStr">
        <x:is>
          <x:t xml:space="preserve">W10-REAC</x:t>
        </x:is>
      </x:c>
      <x:c r="B52" s="43" t="inlineStr">
        <x:is>
          <x:t xml:space="preserve">React / Frontend</x:t>
        </x:is>
      </x:c>
      <x:c r="C52" s="54" t="inlineStr">
        <x:is>
          <x:t xml:space="preserve">Phase 3: Operate &amp; Scale</x:t>
        </x:is>
      </x:c>
      <x:c r="D52" s="51" t="n">
        <x:v>10</x:v>
      </x:c>
      <x:c r="E52" s="51" t="inlineStr">
        <x:is>
          <x:t xml:space="preserve">64-70</x:t>
        </x:is>
      </x:c>
      <x:c r="F52" s="43" t="inlineStr">
        <x:is>
          <x:t xml:space="preserve">DP advanced, resilience, EKS concepts, design system, distributed transactions</x:t>
        </x:is>
      </x:c>
      <x:c r="G52" s="43" t="inlineStr">
        <x:is>
          <x:t xml:space="preserve">Design tokens; Compound components; Custom hook library; Component docs / Storybook-style approach; Composition patterns; Design system build; Design-system recap</x:t>
        </x:is>
      </x:c>
      <x:c r="H52" s="51" t="inlineStr">
        <x:is>
          <x:t xml:space="preserve">Implement</x:t>
        </x:is>
      </x:c>
      <x:c r="I52" s="55" t="inlineStr">
        <x:is>
          <x:t xml:space="preserve">Support</x:t>
        </x:is>
      </x:c>
      <x:c r="J52" s="44" t="inlineStr">
        <x:is>
          <x:t xml:space="preserve">Not Started</x:t>
        </x:is>
      </x:c>
      <x:c r="K52" s="44" t="n"/>
      <x:c r="L52" s="63" t="n"/>
      <x:c r="M52" s="64">
        <x:f>IF(L52="","",L52+7)</x:f>
      </x:c>
      <x:c r="N52" s="43" t="inlineStr">
        <x:is>
          <x:t xml:space="preserve">Milestone: resilient service patterns | Update ADRs</x:t>
        </x:is>
      </x:c>
    </x:row>
    <x:row r="53" s="11" customFormat="1" ht="36" customHeight="1">
      <x:c r="A53" s="51" t="inlineStr">
        <x:is>
          <x:t xml:space="preserve">W10-ARCH</x:t>
        </x:is>
      </x:c>
      <x:c r="B53" s="43" t="inlineStr">
        <x:is>
          <x:t xml:space="preserve">Architecture / Design</x:t>
        </x:is>
      </x:c>
      <x:c r="C53" s="54" t="inlineStr">
        <x:is>
          <x:t xml:space="preserve">Phase 3: Operate &amp; Scale</x:t>
        </x:is>
      </x:c>
      <x:c r="D53" s="51" t="n">
        <x:v>10</x:v>
      </x:c>
      <x:c r="E53" s="51" t="inlineStr">
        <x:is>
          <x:t xml:space="preserve">64-70</x:t>
        </x:is>
      </x:c>
      <x:c r="F53" s="43" t="inlineStr">
        <x:is>
          <x:t xml:space="preserve">DP advanced, resilience, EKS concepts, design system, distributed transactions</x:t>
        </x:is>
      </x:c>
      <x:c r="G53" s="43" t="inlineStr">
        <x:is>
          <x:t xml:space="preserve">Distributed transactions; Saga choreography; Saga orchestration; CQRS and event sourcing intro; Consistency trade-offs; Architecture review; Retrospective</x:t>
        </x:is>
      </x:c>
      <x:c r="H53" s="51" t="inlineStr">
        <x:is>
          <x:t xml:space="preserve">Explain + Design</x:t>
        </x:is>
      </x:c>
      <x:c r="I53" s="55" t="inlineStr">
        <x:is>
          <x:t xml:space="preserve">Critical</x:t>
        </x:is>
      </x:c>
      <x:c r="J53" s="44" t="inlineStr">
        <x:is>
          <x:t xml:space="preserve">Not Started</x:t>
        </x:is>
      </x:c>
      <x:c r="K53" s="44" t="n"/>
      <x:c r="L53" s="63" t="n"/>
      <x:c r="M53" s="64">
        <x:f>IF(L53="","",L53+7)</x:f>
      </x:c>
      <x:c r="N53" s="43" t="inlineStr">
        <x:is>
          <x:t xml:space="preserve">Milestone: resilient service patterns | Update ADRs</x:t>
        </x:is>
      </x:c>
    </x:row>
    <x:row r="54" s="11" customFormat="1" ht="36" customHeight="1">
      <x:c r="A54" s="51" t="inlineStr">
        <x:is>
          <x:t xml:space="preserve">W11-DSA</x:t>
        </x:is>
      </x:c>
      <x:c r="B54" s="43" t="inlineStr">
        <x:is>
          <x:t xml:space="preserve">DSA</x:t>
        </x:is>
      </x:c>
      <x:c r="C54" s="54" t="inlineStr">
        <x:is>
          <x:t xml:space="preserve">Phase 3: Operate &amp; Scale</x:t>
        </x:is>
      </x:c>
      <x:c r="D54" s="51" t="n">
        <x:v>11</x:v>
      </x:c>
      <x:c r="E54" s="51" t="inlineStr">
        <x:is>
          <x:t xml:space="preserve">71-77</x:t>
        </x:is>
      </x:c>
      <x:c r="F54" s="43" t="inlineStr">
        <x:is>
          <x:t xml:space="preserve">Greedy/intervals, architecture patterns in Java, cloud security, frontend architecture, threat modeling</x:t>
        </x:is>
      </x:c>
      <x:c r="G54" s="43" t="inlineStr">
        <x:is>
          <x:t xml:space="preserve">Jump Game; Meeting rooms / scheduling; Merge intervals; Non-overlapping intervals; Task scheduler / PQ greedy mix; Weekend drill: greedy/intervals; Weekly review + timed set</x:t>
        </x:is>
      </x:c>
      <x:c r="H54" s="51" t="inlineStr">
        <x:is>
          <x:t xml:space="preserve">Solve + Explain</x:t>
        </x:is>
      </x:c>
      <x:c r="I54" s="55" t="inlineStr">
        <x:is>
          <x:t xml:space="preserve">Medium</x:t>
        </x:is>
      </x:c>
      <x:c r="J54" s="44" t="inlineStr">
        <x:is>
          <x:t xml:space="preserve">Not Started</x:t>
        </x:is>
      </x:c>
      <x:c r="K54" s="44" t="n"/>
      <x:c r="L54" s="63" t="n"/>
      <x:c r="M54" s="64">
        <x:f>IF(L54="","",L54+7)</x:f>
      </x:c>
      <x:c r="N54" s="43" t="inlineStr">
        <x:is>
          <x:t xml:space="preserve">Milestone: security baseline | Update security checklist</x:t>
        </x:is>
      </x:c>
    </x:row>
    <x:row r="55" s="11" customFormat="1" ht="36" customHeight="1">
      <x:c r="A55" s="51" t="inlineStr">
        <x:is>
          <x:t xml:space="preserve">W11-JAVA</x:t>
        </x:is>
      </x:c>
      <x:c r="B55" s="43" t="inlineStr">
        <x:is>
          <x:t xml:space="preserve">Java / Spring</x:t>
        </x:is>
      </x:c>
      <x:c r="C55" s="54" t="inlineStr">
        <x:is>
          <x:t xml:space="preserve">Phase 3: Operate &amp; Scale</x:t>
        </x:is>
      </x:c>
      <x:c r="D55" s="51" t="n">
        <x:v>11</x:v>
      </x:c>
      <x:c r="E55" s="51" t="inlineStr">
        <x:is>
          <x:t xml:space="preserve">71-77</x:t>
        </x:is>
      </x:c>
      <x:c r="F55" s="43" t="inlineStr">
        <x:is>
          <x:t xml:space="preserve">Greedy/intervals, architecture patterns in Java, cloud security, frontend architecture, threat modeling</x:t>
        </x:is>
      </x:c>
      <x:c r="G55" s="43" t="inlineStr">
        <x:is>
          <x:t xml:space="preserve">Factory/strategy patterns refresher; Immutability and value objects; Clean architecture in Java; Hexagonal architecture; Module boundaries and modular monolith vs microservice; Refactor service with architecture pattern; Pattern recap</x:t>
        </x:is>
      </x:c>
      <x:c r="H55" s="51" t="inlineStr">
        <x:is>
          <x:t xml:space="preserve">Implement + Explain</x:t>
        </x:is>
      </x:c>
      <x:c r="I55" s="55" t="inlineStr">
        <x:is>
          <x:t xml:space="preserve">High</x:t>
        </x:is>
      </x:c>
      <x:c r="J55" s="44" t="inlineStr">
        <x:is>
          <x:t xml:space="preserve">Not Started</x:t>
        </x:is>
      </x:c>
      <x:c r="K55" s="44" t="n"/>
      <x:c r="L55" s="63" t="n"/>
      <x:c r="M55" s="64">
        <x:f>IF(L55="","",L55+7)</x:f>
      </x:c>
      <x:c r="N55" s="43" t="inlineStr">
        <x:is>
          <x:t xml:space="preserve">Milestone: security baseline | Update security checklist</x:t>
        </x:is>
      </x:c>
    </x:row>
    <x:row r="56" s="11" customFormat="1" ht="36" customHeight="1">
      <x:c r="A56" s="51" t="inlineStr">
        <x:is>
          <x:t xml:space="preserve">W11-AWS</x:t>
        </x:is>
      </x:c>
      <x:c r="B56" s="43" t="inlineStr">
        <x:is>
          <x:t xml:space="preserve">AWS / DevOps</x:t>
        </x:is>
      </x:c>
      <x:c r="C56" s="54" t="inlineStr">
        <x:is>
          <x:t xml:space="preserve">Phase 3: Operate &amp; Scale</x:t>
        </x:is>
      </x:c>
      <x:c r="D56" s="51" t="n">
        <x:v>11</x:v>
      </x:c>
      <x:c r="E56" s="51" t="inlineStr">
        <x:is>
          <x:t xml:space="preserve">71-77</x:t>
        </x:is>
      </x:c>
      <x:c r="F56" s="43" t="inlineStr">
        <x:is>
          <x:t xml:space="preserve">Greedy/intervals, architecture patterns in Java, cloud security, frontend architecture, threat modeling</x:t>
        </x:is>
      </x:c>
      <x:c r="G56" s="43" t="inlineStr">
        <x:is>
          <x:t xml:space="preserve">KMS encryption basics; Secrets Manager / Parameter Store; Cognito / auth service concepts; WAF / Shield basics; Least-privilege IAM review; Security hardening lab; Security recap</x:t>
        </x:is>
      </x:c>
      <x:c r="H56" s="51" t="inlineStr">
        <x:is>
          <x:t xml:space="preserve">Implement + Explain</x:t>
        </x:is>
      </x:c>
      <x:c r="I56" s="55" t="inlineStr">
        <x:is>
          <x:t xml:space="preserve">Critical</x:t>
        </x:is>
      </x:c>
      <x:c r="J56" s="44" t="inlineStr">
        <x:is>
          <x:t xml:space="preserve">Not Started</x:t>
        </x:is>
      </x:c>
      <x:c r="K56" s="44" t="n"/>
      <x:c r="L56" s="63" t="n"/>
      <x:c r="M56" s="64">
        <x:f>IF(L56="","",L56+7)</x:f>
      </x:c>
      <x:c r="N56" s="43" t="inlineStr">
        <x:is>
          <x:t xml:space="preserve">Milestone: security baseline | Update security checklist</x:t>
        </x:is>
      </x:c>
    </x:row>
    <x:row r="57" s="11" customFormat="1" ht="36" customHeight="1">
      <x:c r="A57" s="51" t="inlineStr">
        <x:is>
          <x:t xml:space="preserve">W11-REAC</x:t>
        </x:is>
      </x:c>
      <x:c r="B57" s="43" t="inlineStr">
        <x:is>
          <x:t xml:space="preserve">React / Frontend</x:t>
        </x:is>
      </x:c>
      <x:c r="C57" s="54" t="inlineStr">
        <x:is>
          <x:t xml:space="preserve">Phase 3: Operate &amp; Scale</x:t>
        </x:is>
      </x:c>
      <x:c r="D57" s="51" t="n">
        <x:v>11</x:v>
      </x:c>
      <x:c r="E57" s="51" t="inlineStr">
        <x:is>
          <x:t xml:space="preserve">71-77</x:t>
        </x:is>
      </x:c>
      <x:c r="F57" s="43" t="inlineStr">
        <x:is>
          <x:t xml:space="preserve">Greedy/intervals, architecture patterns in Java, cloud security, frontend architecture, threat modeling</x:t>
        </x:is>
      </x:c>
      <x:c r="G57" s="43" t="inlineStr">
        <x:is>
          <x:t xml:space="preserve">Frontend folder architecture; Route-level code splitting; State at scale and query caching; Error boundaries; Build optimization; Frontend architecture refactor; React architecture recap</x:t>
        </x:is>
      </x:c>
      <x:c r="H57" s="51" t="inlineStr">
        <x:is>
          <x:t xml:space="preserve">Implement</x:t>
        </x:is>
      </x:c>
      <x:c r="I57" s="55" t="inlineStr">
        <x:is>
          <x:t xml:space="preserve">Support</x:t>
        </x:is>
      </x:c>
      <x:c r="J57" s="44" t="inlineStr">
        <x:is>
          <x:t xml:space="preserve">Not Started</x:t>
        </x:is>
      </x:c>
      <x:c r="K57" s="44" t="n"/>
      <x:c r="L57" s="63" t="n"/>
      <x:c r="M57" s="64">
        <x:f>IF(L57="","",L57+7)</x:f>
      </x:c>
      <x:c r="N57" s="43" t="inlineStr">
        <x:is>
          <x:t xml:space="preserve">Milestone: security baseline | Update security checklist</x:t>
        </x:is>
      </x:c>
    </x:row>
    <x:row r="58" s="11" customFormat="1" ht="36" customHeight="1">
      <x:c r="A58" s="51" t="inlineStr">
        <x:is>
          <x:t xml:space="preserve">W11-ARCH</x:t>
        </x:is>
      </x:c>
      <x:c r="B58" s="43" t="inlineStr">
        <x:is>
          <x:t xml:space="preserve">Architecture / Design</x:t>
        </x:is>
      </x:c>
      <x:c r="C58" s="54" t="inlineStr">
        <x:is>
          <x:t xml:space="preserve">Phase 3: Operate &amp; Scale</x:t>
        </x:is>
      </x:c>
      <x:c r="D58" s="51" t="n">
        <x:v>11</x:v>
      </x:c>
      <x:c r="E58" s="51" t="inlineStr">
        <x:is>
          <x:t xml:space="preserve">71-77</x:t>
        </x:is>
      </x:c>
      <x:c r="F58" s="43" t="inlineStr">
        <x:is>
          <x:t xml:space="preserve">Greedy/intervals, architecture patterns in Java, cloud security, frontend architecture, threat modeling</x:t>
        </x:is>
      </x:c>
      <x:c r="G58" s="43" t="inlineStr">
        <x:is>
          <x:t xml:space="preserve">Zero-trust and defense in depth; OWASP Top 10 overview; API security and token validation; TLS, mTLS, private APIs; Threat modeling exercise; Security review; Retrospective</x:t>
        </x:is>
      </x:c>
      <x:c r="H58" s="51" t="inlineStr">
        <x:is>
          <x:t xml:space="preserve">Explain + Design</x:t>
        </x:is>
      </x:c>
      <x:c r="I58" s="55" t="inlineStr">
        <x:is>
          <x:t xml:space="preserve">Critical</x:t>
        </x:is>
      </x:c>
      <x:c r="J58" s="44" t="inlineStr">
        <x:is>
          <x:t xml:space="preserve">Not Started</x:t>
        </x:is>
      </x:c>
      <x:c r="K58" s="44" t="n"/>
      <x:c r="L58" s="63" t="n"/>
      <x:c r="M58" s="64">
        <x:f>IF(L58="","",L58+7)</x:f>
      </x:c>
      <x:c r="N58" s="43" t="inlineStr">
        <x:is>
          <x:t xml:space="preserve">Milestone: security baseline | Update security checklist</x:t>
        </x:is>
      </x:c>
    </x:row>
    <x:row r="59" s="11" customFormat="1" ht="36" customHeight="1">
      <x:c r="A59" s="51" t="inlineStr">
        <x:is>
          <x:t xml:space="preserve">W12-DSA</x:t>
        </x:is>
      </x:c>
      <x:c r="B59" s="43" t="inlineStr">
        <x:is>
          <x:t xml:space="preserve">DSA</x:t>
        </x:is>
      </x:c>
      <x:c r="C59" s="54" t="inlineStr">
        <x:is>
          <x:t xml:space="preserve">Phase 3: Operate &amp; Scale</x:t>
        </x:is>
      </x:c>
      <x:c r="D59" s="51" t="n">
        <x:v>12</x:v>
      </x:c>
      <x:c r="E59" s="51" t="inlineStr">
        <x:is>
          <x:t xml:space="preserve">78-84</x:t>
        </x:is>
      </x:c>
      <x:c r="F59" s="43" t="inlineStr">
        <x:is>
          <x:t xml:space="preserve">Backtracking/bit/math, CI/CD, IaC, build tooling, DevSecOps</x:t>
        </x:is>
      </x:c>
      <x:c r="G59" s="43" t="inlineStr">
        <x:is>
          <x:t xml:space="preserve">Subsets; Permutations; Combination Sum; N-Queens / Word Search; Bit manipulation intro; Weekend drill: backtracking/bit; Weekly review + timed set</x:t>
        </x:is>
      </x:c>
      <x:c r="H59" s="51" t="inlineStr">
        <x:is>
          <x:t xml:space="preserve">Solve + Explain</x:t>
        </x:is>
      </x:c>
      <x:c r="I59" s="55" t="inlineStr">
        <x:is>
          <x:t xml:space="preserve">Medium</x:t>
        </x:is>
      </x:c>
      <x:c r="J59" s="44" t="inlineStr">
        <x:is>
          <x:t xml:space="preserve">Not Started</x:t>
        </x:is>
      </x:c>
      <x:c r="K59" s="44" t="n"/>
      <x:c r="L59" s="63" t="n"/>
      <x:c r="M59" s="64">
        <x:f>IF(L59="","",L59+7)</x:f>
      </x:c>
      <x:c r="N59" s="43" t="inlineStr">
        <x:is>
          <x:t xml:space="preserve">Milestone: automated build pipeline | Update runbooks</x:t>
        </x:is>
      </x:c>
    </x:row>
    <x:row r="60" s="11" customFormat="1" ht="36" customHeight="1">
      <x:c r="A60" s="51" t="inlineStr">
        <x:is>
          <x:t xml:space="preserve">W12-JAVA</x:t>
        </x:is>
      </x:c>
      <x:c r="B60" s="43" t="inlineStr">
        <x:is>
          <x:t xml:space="preserve">Java / Spring</x:t>
        </x:is>
      </x:c>
      <x:c r="C60" s="54" t="inlineStr">
        <x:is>
          <x:t xml:space="preserve">Phase 3: Operate &amp; Scale</x:t>
        </x:is>
      </x:c>
      <x:c r="D60" s="51" t="n">
        <x:v>12</x:v>
      </x:c>
      <x:c r="E60" s="51" t="inlineStr">
        <x:is>
          <x:t xml:space="preserve">78-84</x:t>
        </x:is>
      </x:c>
      <x:c r="F60" s="43" t="inlineStr">
        <x:is>
          <x:t xml:space="preserve">Backtracking/bit/math, CI/CD, IaC, build tooling, DevSecOps</x:t>
        </x:is>
      </x:c>
      <x:c r="G60" s="43" t="inlineStr">
        <x:is>
          <x:t xml:space="preserve">Maven lifecycle and plugins; GitHub Actions or Jenkins basics; Testing strategy and coverage; Jacoco / Sonar basics; Versioning and release management; Set up CI for backend; Build-tool recap</x:t>
        </x:is>
      </x:c>
      <x:c r="H60" s="51" t="inlineStr">
        <x:is>
          <x:t xml:space="preserve">Implement + Explain</x:t>
        </x:is>
      </x:c>
      <x:c r="I60" s="55" t="inlineStr">
        <x:is>
          <x:t xml:space="preserve">High</x:t>
        </x:is>
      </x:c>
      <x:c r="J60" s="44" t="inlineStr">
        <x:is>
          <x:t xml:space="preserve">Not Started</x:t>
        </x:is>
      </x:c>
      <x:c r="K60" s="44" t="n"/>
      <x:c r="L60" s="63" t="n"/>
      <x:c r="M60" s="64">
        <x:f>IF(L60="","",L60+7)</x:f>
      </x:c>
      <x:c r="N60" s="43" t="inlineStr">
        <x:is>
          <x:t xml:space="preserve">Milestone: automated build pipeline | Update runbooks</x:t>
        </x:is>
      </x:c>
    </x:row>
    <x:row r="61" s="11" customFormat="1" ht="36" customHeight="1">
      <x:c r="A61" s="51" t="inlineStr">
        <x:is>
          <x:t xml:space="preserve">W12-AWS</x:t>
        </x:is>
      </x:c>
      <x:c r="B61" s="43" t="inlineStr">
        <x:is>
          <x:t xml:space="preserve">AWS / DevOps</x:t>
        </x:is>
      </x:c>
      <x:c r="C61" s="54" t="inlineStr">
        <x:is>
          <x:t xml:space="preserve">Phase 3: Operate &amp; Scale</x:t>
        </x:is>
      </x:c>
      <x:c r="D61" s="51" t="n">
        <x:v>12</x:v>
      </x:c>
      <x:c r="E61" s="51" t="inlineStr">
        <x:is>
          <x:t xml:space="preserve">78-84</x:t>
        </x:is>
      </x:c>
      <x:c r="F61" s="43" t="inlineStr">
        <x:is>
          <x:t xml:space="preserve">Backtracking/bit/math, CI/CD, IaC, build tooling, DevSecOps</x:t>
        </x:is>
      </x:c>
      <x:c r="G61" s="43" t="inlineStr">
        <x:is>
          <x:t xml:space="preserve">CodeBuild / CodePipeline overview; Pipeline for Java app; CloudFormation basics; Terraform basics and modules; IaC state, drift, plan/apply; IaC lab; IaC recap</x:t>
        </x:is>
      </x:c>
      <x:c r="H61" s="51" t="inlineStr">
        <x:is>
          <x:t xml:space="preserve">Implement + Explain</x:t>
        </x:is>
      </x:c>
      <x:c r="I61" s="55" t="inlineStr">
        <x:is>
          <x:t xml:space="preserve">Critical</x:t>
        </x:is>
      </x:c>
      <x:c r="J61" s="44" t="inlineStr">
        <x:is>
          <x:t xml:space="preserve">Not Started</x:t>
        </x:is>
      </x:c>
      <x:c r="K61" s="44" t="n"/>
      <x:c r="L61" s="63" t="n"/>
      <x:c r="M61" s="64">
        <x:f>IF(L61="","",L61+7)</x:f>
      </x:c>
      <x:c r="N61" s="43" t="inlineStr">
        <x:is>
          <x:t xml:space="preserve">Milestone: automated build pipeline | Update runbooks</x:t>
        </x:is>
      </x:c>
    </x:row>
    <x:row r="62" s="11" customFormat="1" ht="36" customHeight="1">
      <x:c r="A62" s="51" t="inlineStr">
        <x:is>
          <x:t xml:space="preserve">W12-REAC</x:t>
        </x:is>
      </x:c>
      <x:c r="B62" s="43" t="inlineStr">
        <x:is>
          <x:t xml:space="preserve">React / Frontend</x:t>
        </x:is>
      </x:c>
      <x:c r="C62" s="54" t="inlineStr">
        <x:is>
          <x:t xml:space="preserve">Phase 3: Operate &amp; Scale</x:t>
        </x:is>
      </x:c>
      <x:c r="D62" s="51" t="n">
        <x:v>12</x:v>
      </x:c>
      <x:c r="E62" s="51" t="inlineStr">
        <x:is>
          <x:t xml:space="preserve">78-84</x:t>
        </x:is>
      </x:c>
      <x:c r="F62" s="43" t="inlineStr">
        <x:is>
          <x:t xml:space="preserve">Backtracking/bit/math, CI/CD, IaC, build tooling, DevSecOps</x:t>
        </x:is>
      </x:c>
      <x:c r="G62" s="43" t="inlineStr">
        <x:is>
          <x:t xml:space="preserve">Vite build pipeline; Lint / format / pre-commit hooks; Environment config patterns; Bundle analysis; Source maps and frontend monitoring; Frontend CI; Frontend-tooling recap</x:t>
        </x:is>
      </x:c>
      <x:c r="H62" s="51" t="inlineStr">
        <x:is>
          <x:t xml:space="preserve">Implement</x:t>
        </x:is>
      </x:c>
      <x:c r="I62" s="55" t="inlineStr">
        <x:is>
          <x:t xml:space="preserve">Support</x:t>
        </x:is>
      </x:c>
      <x:c r="J62" s="44" t="inlineStr">
        <x:is>
          <x:t xml:space="preserve">Not Started</x:t>
        </x:is>
      </x:c>
      <x:c r="K62" s="44" t="n"/>
      <x:c r="L62" s="63" t="n"/>
      <x:c r="M62" s="64">
        <x:f>IF(L62="","",L62+7)</x:f>
      </x:c>
      <x:c r="N62" s="43" t="inlineStr">
        <x:is>
          <x:t xml:space="preserve">Milestone: automated build pipeline | Update runbooks</x:t>
        </x:is>
      </x:c>
    </x:row>
    <x:row r="63" s="11" customFormat="1" ht="36" customHeight="1">
      <x:c r="A63" s="51" t="inlineStr">
        <x:is>
          <x:t xml:space="preserve">W12-ARCH</x:t>
        </x:is>
      </x:c>
      <x:c r="B63" s="43" t="inlineStr">
        <x:is>
          <x:t xml:space="preserve">Architecture / Design</x:t>
        </x:is>
      </x:c>
      <x:c r="C63" s="54" t="inlineStr">
        <x:is>
          <x:t xml:space="preserve">Phase 3: Operate &amp; Scale</x:t>
        </x:is>
      </x:c>
      <x:c r="D63" s="51" t="n">
        <x:v>12</x:v>
      </x:c>
      <x:c r="E63" s="51" t="inlineStr">
        <x:is>
          <x:t xml:space="preserve">78-84</x:t>
        </x:is>
      </x:c>
      <x:c r="F63" s="43" t="inlineStr">
        <x:is>
          <x:t xml:space="preserve">Backtracking/bit/math, CI/CD, IaC, build tooling, DevSecOps</x:t>
        </x:is>
      </x:c>
      <x:c r="G63" s="43" t="inlineStr">
        <x:is>
          <x:t xml:space="preserve">CI/CD principles; Artifact promotion; Branch strategy and release flow; Secret scanning and supply-chain basics; DevSecOps checklist; Pipeline review; Retrospective</x:t>
        </x:is>
      </x:c>
      <x:c r="H63" s="51" t="inlineStr">
        <x:is>
          <x:t xml:space="preserve">Explain + Design</x:t>
        </x:is>
      </x:c>
      <x:c r="I63" s="55" t="inlineStr">
        <x:is>
          <x:t xml:space="preserve">Critical</x:t>
        </x:is>
      </x:c>
      <x:c r="J63" s="44" t="inlineStr">
        <x:is>
          <x:t xml:space="preserve">Not Started</x:t>
        </x:is>
      </x:c>
      <x:c r="K63" s="44" t="n"/>
      <x:c r="L63" s="63" t="n"/>
      <x:c r="M63" s="64">
        <x:f>IF(L63="","",L63+7)</x:f>
      </x:c>
      <x:c r="N63" s="43" t="inlineStr">
        <x:is>
          <x:t xml:space="preserve">Milestone: automated build pipeline | Update runbooks</x:t>
        </x:is>
      </x:c>
    </x:row>
    <x:row r="64" s="11" customFormat="1" ht="36" customHeight="1">
      <x:c r="A64" s="51" t="inlineStr">
        <x:is>
          <x:t xml:space="preserve">W13-DSA</x:t>
        </x:is>
      </x:c>
      <x:c r="B64" s="43" t="inlineStr">
        <x:is>
          <x:t xml:space="preserve">DSA</x:t>
        </x:is>
      </x:c>
      <x:c r="C64" s="54" t="inlineStr">
        <x:is>
          <x:t xml:space="preserve">Phase 3: Operate &amp; Scale</x:t>
        </x:is>
      </x:c>
      <x:c r="D64" s="51" t="n">
        <x:v>13</x:v>
      </x:c>
      <x:c r="E64" s="51" t="inlineStr">
        <x:is>
          <x:t xml:space="preserve">85-91</x:t>
        </x:is>
      </x:c>
      <x:c r="F64" s="43" t="inlineStr">
        <x:is>
          <x:t xml:space="preserve">Mixed interview set, performance tuning, advanced networking, accessibility, cost/performance trade-offs</x:t>
        </x:is>
      </x:c>
      <x:c r="G64" s="43" t="inlineStr">
        <x:is>
          <x:t xml:space="preserve">Mixed medium set 1; Mixed medium set 2; Mixed medium set 3; Mixed medium set 4; Mixed medium set 5; Weekend timed DSA mock; Weekly review + mock corrections</x:t>
        </x:is>
      </x:c>
      <x:c r="H64" s="51" t="inlineStr">
        <x:is>
          <x:t xml:space="preserve">Solve + Explain</x:t>
        </x:is>
      </x:c>
      <x:c r="I64" s="55" t="inlineStr">
        <x:is>
          <x:t xml:space="preserve">Medium</x:t>
        </x:is>
      </x:c>
      <x:c r="J64" s="44" t="inlineStr">
        <x:is>
          <x:t xml:space="preserve">Not Started</x:t>
        </x:is>
      </x:c>
      <x:c r="K64" s="44" t="n"/>
      <x:c r="L64" s="63" t="n"/>
      <x:c r="M64" s="64">
        <x:f>IF(L64="","",L64+7)</x:f>
      </x:c>
      <x:c r="N64" s="43" t="inlineStr">
        <x:is>
          <x:t xml:space="preserve">Milestone: tuned and audited slice | Update scorecard</x:t>
        </x:is>
      </x:c>
    </x:row>
    <x:row r="65" s="11" customFormat="1" ht="36" customHeight="1">
      <x:c r="A65" s="51" t="inlineStr">
        <x:is>
          <x:t xml:space="preserve">W13-JAVA</x:t>
        </x:is>
      </x:c>
      <x:c r="B65" s="43" t="inlineStr">
        <x:is>
          <x:t xml:space="preserve">Java / Spring</x:t>
        </x:is>
      </x:c>
      <x:c r="C65" s="54" t="inlineStr">
        <x:is>
          <x:t xml:space="preserve">Phase 3: Operate &amp; Scale</x:t>
        </x:is>
      </x:c>
      <x:c r="D65" s="51" t="n">
        <x:v>13</x:v>
      </x:c>
      <x:c r="E65" s="51" t="inlineStr">
        <x:is>
          <x:t xml:space="preserve">85-91</x:t>
        </x:is>
      </x:c>
      <x:c r="F65" s="43" t="inlineStr">
        <x:is>
          <x:t xml:space="preserve">Mixed interview set, performance tuning, advanced networking, accessibility, cost/performance trade-offs</x:t>
        </x:is>
      </x:c>
      <x:c r="G65" s="43" t="inlineStr">
        <x:is>
          <x:t xml:space="preserve">JFR / JMC basics; GC tuning flags; Heap/thread dump analysis; Connection and thread-pool tuning; DB/query profiling; Performance tuning lab; Performance recap</x:t>
        </x:is>
      </x:c>
      <x:c r="H65" s="51" t="inlineStr">
        <x:is>
          <x:t xml:space="preserve">Implement + Explain</x:t>
        </x:is>
      </x:c>
      <x:c r="I65" s="55" t="inlineStr">
        <x:is>
          <x:t xml:space="preserve">High</x:t>
        </x:is>
      </x:c>
      <x:c r="J65" s="44" t="inlineStr">
        <x:is>
          <x:t xml:space="preserve">Not Started</x:t>
        </x:is>
      </x:c>
      <x:c r="K65" s="44" t="n"/>
      <x:c r="L65" s="63" t="n"/>
      <x:c r="M65" s="64">
        <x:f>IF(L65="","",L65+7)</x:f>
      </x:c>
      <x:c r="N65" s="43" t="inlineStr">
        <x:is>
          <x:t xml:space="preserve">Milestone: tuned and audited slice | Update scorecard</x:t>
        </x:is>
      </x:c>
    </x:row>
    <x:row r="66" s="11" customFormat="1" ht="36" customHeight="1">
      <x:c r="A66" s="51" t="inlineStr">
        <x:is>
          <x:t xml:space="preserve">W13-AWS</x:t>
        </x:is>
      </x:c>
      <x:c r="B66" s="43" t="inlineStr">
        <x:is>
          <x:t xml:space="preserve">AWS / DevOps</x:t>
        </x:is>
      </x:c>
      <x:c r="C66" s="54" t="inlineStr">
        <x:is>
          <x:t xml:space="preserve">Phase 3: Operate &amp; Scale</x:t>
        </x:is>
      </x:c>
      <x:c r="D66" s="51" t="n">
        <x:v>13</x:v>
      </x:c>
      <x:c r="E66" s="51" t="inlineStr">
        <x:is>
          <x:t xml:space="preserve">85-91</x:t>
        </x:is>
      </x:c>
      <x:c r="F66" s="43" t="inlineStr">
        <x:is>
          <x:t xml:space="preserve">Mixed interview set, performance tuning, advanced networking, accessibility, cost/performance trade-offs</x:t>
        </x:is>
      </x:c>
      <x:c r="G66" s="43" t="inlineStr">
        <x:is>
          <x:t xml:space="preserve">Route 53 and DNS; CloudFront; ACM / HTTPS; VPC endpoints / PrivateLink; Cost explorer / cost optimization review; Global delivery lab; Networking recap</x:t>
        </x:is>
      </x:c>
      <x:c r="H66" s="51" t="inlineStr">
        <x:is>
          <x:t xml:space="preserve">Implement + Explain</x:t>
        </x:is>
      </x:c>
      <x:c r="I66" s="55" t="inlineStr">
        <x:is>
          <x:t xml:space="preserve">Critical</x:t>
        </x:is>
      </x:c>
      <x:c r="J66" s="44" t="inlineStr">
        <x:is>
          <x:t xml:space="preserve">Not Started</x:t>
        </x:is>
      </x:c>
      <x:c r="K66" s="44" t="n"/>
      <x:c r="L66" s="63" t="n"/>
      <x:c r="M66" s="64">
        <x:f>IF(L66="","",L66+7)</x:f>
      </x:c>
      <x:c r="N66" s="43" t="inlineStr">
        <x:is>
          <x:t xml:space="preserve">Milestone: tuned and audited slice | Update scorecard</x:t>
        </x:is>
      </x:c>
    </x:row>
    <x:row r="67" s="11" customFormat="1" ht="36" customHeight="1">
      <x:c r="A67" s="51" t="inlineStr">
        <x:is>
          <x:t xml:space="preserve">W13-REAC</x:t>
        </x:is>
      </x:c>
      <x:c r="B67" s="43" t="inlineStr">
        <x:is>
          <x:t xml:space="preserve">React / Frontend</x:t>
        </x:is>
      </x:c>
      <x:c r="C67" s="54" t="inlineStr">
        <x:is>
          <x:t xml:space="preserve">Phase 3: Operate &amp; Scale</x:t>
        </x:is>
      </x:c>
      <x:c r="D67" s="51" t="n">
        <x:v>13</x:v>
      </x:c>
      <x:c r="E67" s="51" t="inlineStr">
        <x:is>
          <x:t xml:space="preserve">85-91</x:t>
        </x:is>
      </x:c>
      <x:c r="F67" s="43" t="inlineStr">
        <x:is>
          <x:t xml:space="preserve">Mixed interview set, performance tuning, advanced networking, accessibility, cost/performance trade-offs</x:t>
        </x:is>
      </x:c>
      <x:c r="G67" s="43" t="inlineStr">
        <x:is>
          <x:t xml:space="preserve">Semantic HTML; Keyboard navigation; ARIA and labels; Performance budgets; Lighthouse audit; Accessibility audit; A11y recap</x:t>
        </x:is>
      </x:c>
      <x:c r="H67" s="51" t="inlineStr">
        <x:is>
          <x:t xml:space="preserve">Implement</x:t>
        </x:is>
      </x:c>
      <x:c r="I67" s="55" t="inlineStr">
        <x:is>
          <x:t xml:space="preserve">Support</x:t>
        </x:is>
      </x:c>
      <x:c r="J67" s="44" t="inlineStr">
        <x:is>
          <x:t xml:space="preserve">Not Started</x:t>
        </x:is>
      </x:c>
      <x:c r="K67" s="44" t="n"/>
      <x:c r="L67" s="63" t="n"/>
      <x:c r="M67" s="64">
        <x:f>IF(L67="","",L67+7)</x:f>
      </x:c>
      <x:c r="N67" s="43" t="inlineStr">
        <x:is>
          <x:t xml:space="preserve">Milestone: tuned and audited slice | Update scorecard</x:t>
        </x:is>
      </x:c>
    </x:row>
    <x:row r="68" s="11" customFormat="1" ht="36" customHeight="1">
      <x:c r="A68" s="51" t="inlineStr">
        <x:is>
          <x:t xml:space="preserve">W13-ARCH</x:t>
        </x:is>
      </x:c>
      <x:c r="B68" s="43" t="inlineStr">
        <x:is>
          <x:t xml:space="preserve">Architecture / Design</x:t>
        </x:is>
      </x:c>
      <x:c r="C68" s="54" t="inlineStr">
        <x:is>
          <x:t xml:space="preserve">Phase 3: Operate &amp; Scale</x:t>
        </x:is>
      </x:c>
      <x:c r="D68" s="51" t="n">
        <x:v>13</x:v>
      </x:c>
      <x:c r="E68" s="51" t="inlineStr">
        <x:is>
          <x:t xml:space="preserve">85-91</x:t>
        </x:is>
      </x:c>
      <x:c r="F68" s="43" t="inlineStr">
        <x:is>
          <x:t xml:space="preserve">Mixed interview set, performance tuning, advanced networking, accessibility, cost/performance trade-offs</x:t>
        </x:is>
      </x:c>
      <x:c r="G68" s="43" t="inlineStr">
        <x:is>
          <x:t xml:space="preserve">Cost vs performance; RTO/RPO; Multi-AZ vs multi-region; Scaling trade-offs; Cost optimization levers; Well-Architected review; Retrospective</x:t>
        </x:is>
      </x:c>
      <x:c r="H68" s="51" t="inlineStr">
        <x:is>
          <x:t xml:space="preserve">Explain + Design</x:t>
        </x:is>
      </x:c>
      <x:c r="I68" s="55" t="inlineStr">
        <x:is>
          <x:t xml:space="preserve">Critical</x:t>
        </x:is>
      </x:c>
      <x:c r="J68" s="44" t="inlineStr">
        <x:is>
          <x:t xml:space="preserve">Not Started</x:t>
        </x:is>
      </x:c>
      <x:c r="K68" s="44" t="n"/>
      <x:c r="L68" s="63" t="n"/>
      <x:c r="M68" s="64">
        <x:f>IF(L68="","",L68+7)</x:f>
      </x:c>
      <x:c r="N68" s="43" t="inlineStr">
        <x:is>
          <x:t xml:space="preserve">Milestone: tuned and audited slice | Update scorecard</x:t>
        </x:is>
      </x:c>
    </x:row>
    <x:row r="69" s="11" customFormat="1" ht="36" customHeight="1">
      <x:c r="A69" s="51" t="inlineStr">
        <x:is>
          <x:t xml:space="preserve">W14-DSA</x:t>
        </x:is>
      </x:c>
      <x:c r="B69" s="43" t="inlineStr">
        <x:is>
          <x:t xml:space="preserve">DSA</x:t>
        </x:is>
      </x:c>
      <x:c r="C69" s="54" t="inlineStr">
        <x:is>
          <x:t xml:space="preserve">Phase 4: Architect Mode</x:t>
        </x:is>
      </x:c>
      <x:c r="D69" s="51" t="n">
        <x:v>14</x:v>
      </x:c>
      <x:c r="E69" s="51" t="inlineStr">
        <x:is>
          <x:t xml:space="preserve">92-98</x:t>
        </x:is>
      </x:c>
      <x:c r="F69" s="43" t="inlineStr">
        <x:is>
          <x:t xml:space="preserve">System-design implementation, HA/DR, frontend monitoring, stakeholder communication</x:t>
        </x:is>
      </x:c>
      <x:c r="G69" s="43" t="inlineStr">
        <x:is>
          <x:t xml:space="preserve">Design-focused DSA mix 1; Graph/DP mix; Interval/backtracking mix; Timed mock; Timed mock; Weekend mock interview + design round; Weekly review + corrections</x:t>
        </x:is>
      </x:c>
      <x:c r="H69" s="51" t="inlineStr">
        <x:is>
          <x:t xml:space="preserve">Solve + Explain</x:t>
        </x:is>
      </x:c>
      <x:c r="I69" s="55" t="inlineStr">
        <x:is>
          <x:t xml:space="preserve">Medium</x:t>
        </x:is>
      </x:c>
      <x:c r="J69" s="44" t="inlineStr">
        <x:is>
          <x:t xml:space="preserve">Not Started</x:t>
        </x:is>
      </x:c>
      <x:c r="K69" s="44" t="n"/>
      <x:c r="L69" s="63" t="n"/>
      <x:c r="M69" s="64">
        <x:f>IF(L69="","",L69+7)</x:f>
      </x:c>
      <x:c r="N69" s="43" t="inlineStr">
        <x:is>
          <x:t xml:space="preserve">Milestone: design and explain | Update portfolio notes</x:t>
        </x:is>
      </x:c>
    </x:row>
    <x:row r="70" s="11" customFormat="1" ht="36" customHeight="1">
      <x:c r="A70" s="51" t="inlineStr">
        <x:is>
          <x:t xml:space="preserve">W14-JAVA</x:t>
        </x:is>
      </x:c>
      <x:c r="B70" s="43" t="inlineStr">
        <x:is>
          <x:t xml:space="preserve">Java / Spring</x:t>
        </x:is>
      </x:c>
      <x:c r="C70" s="54" t="inlineStr">
        <x:is>
          <x:t xml:space="preserve">Phase 4: Architect Mode</x:t>
        </x:is>
      </x:c>
      <x:c r="D70" s="51" t="n">
        <x:v>14</x:v>
      </x:c>
      <x:c r="E70" s="51" t="inlineStr">
        <x:is>
          <x:t xml:space="preserve">92-98</x:t>
        </x:is>
      </x:c>
      <x:c r="F70" s="43" t="inlineStr">
        <x:is>
          <x:t xml:space="preserve">System-design implementation, HA/DR, frontend monitoring, stakeholder communication</x:t>
        </x:is>
      </x:c>
      <x:c r="G70" s="43" t="inlineStr">
        <x:is>
          <x:t xml:space="preserve">Implement rate limiter; Notification system design; URL shortener design; File upload system design; Payment system design; Implement one design slice; System design recap</x:t>
        </x:is>
      </x:c>
      <x:c r="H70" s="51" t="inlineStr">
        <x:is>
          <x:t xml:space="preserve">Implement + Explain</x:t>
        </x:is>
      </x:c>
      <x:c r="I70" s="55" t="inlineStr">
        <x:is>
          <x:t xml:space="preserve">High</x:t>
        </x:is>
      </x:c>
      <x:c r="J70" s="44" t="inlineStr">
        <x:is>
          <x:t xml:space="preserve">Not Started</x:t>
        </x:is>
      </x:c>
      <x:c r="K70" s="44" t="n"/>
      <x:c r="L70" s="63" t="n"/>
      <x:c r="M70" s="64">
        <x:f>IF(L70="","",L70+7)</x:f>
      </x:c>
      <x:c r="N70" s="43" t="inlineStr">
        <x:is>
          <x:t xml:space="preserve">Milestone: design and explain | Update portfolio notes</x:t>
        </x:is>
      </x:c>
    </x:row>
    <x:row r="71" s="11" customFormat="1" ht="36" customHeight="1">
      <x:c r="A71" s="51" t="inlineStr">
        <x:is>
          <x:t xml:space="preserve">W14-AWS</x:t>
        </x:is>
      </x:c>
      <x:c r="B71" s="43" t="inlineStr">
        <x:is>
          <x:t xml:space="preserve">AWS / DevOps</x:t>
        </x:is>
      </x:c>
      <x:c r="C71" s="54" t="inlineStr">
        <x:is>
          <x:t xml:space="preserve">Phase 4: Architect Mode</x:t>
        </x:is>
      </x:c>
      <x:c r="D71" s="51" t="n">
        <x:v>14</x:v>
      </x:c>
      <x:c r="E71" s="51" t="inlineStr">
        <x:is>
          <x:t xml:space="preserve">92-98</x:t>
        </x:is>
      </x:c>
      <x:c r="F71" s="43" t="inlineStr">
        <x:is>
          <x:t xml:space="preserve">System-design implementation, HA/DR, frontend monitoring, stakeholder communication</x:t>
        </x:is>
      </x:c>
      <x:c r="G71" s="43" t="inlineStr">
        <x:is>
          <x:t xml:space="preserve">High-availability patterns; Backup and disaster recovery; Autoscaling strategies; Database failover; Queue buffering and decoupling; DR walkthrough; HA/DR recap</x:t>
        </x:is>
      </x:c>
      <x:c r="H71" s="51" t="inlineStr">
        <x:is>
          <x:t xml:space="preserve">Implement + Explain</x:t>
        </x:is>
      </x:c>
      <x:c r="I71" s="55" t="inlineStr">
        <x:is>
          <x:t xml:space="preserve">Critical</x:t>
        </x:is>
      </x:c>
      <x:c r="J71" s="44" t="inlineStr">
        <x:is>
          <x:t xml:space="preserve">Not Started</x:t>
        </x:is>
      </x:c>
      <x:c r="K71" s="44" t="n"/>
      <x:c r="L71" s="63" t="n"/>
      <x:c r="M71" s="64">
        <x:f>IF(L71="","",L71+7)</x:f>
      </x:c>
      <x:c r="N71" s="43" t="inlineStr">
        <x:is>
          <x:t xml:space="preserve">Milestone: design and explain | Update portfolio notes</x:t>
        </x:is>
      </x:c>
    </x:row>
    <x:row r="72" s="11" customFormat="1" ht="36" customHeight="1">
      <x:c r="A72" s="51" t="inlineStr">
        <x:is>
          <x:t xml:space="preserve">W14-REAC</x:t>
        </x:is>
      </x:c>
      <x:c r="B72" s="43" t="inlineStr">
        <x:is>
          <x:t xml:space="preserve">React / Frontend</x:t>
        </x:is>
      </x:c>
      <x:c r="C72" s="54" t="inlineStr">
        <x:is>
          <x:t xml:space="preserve">Phase 4: Architect Mode</x:t>
        </x:is>
      </x:c>
      <x:c r="D72" s="51" t="n">
        <x:v>14</x:v>
      </x:c>
      <x:c r="E72" s="51" t="inlineStr">
        <x:is>
          <x:t xml:space="preserve">92-98</x:t>
        </x:is>
      </x:c>
      <x:c r="F72" s="43" t="inlineStr">
        <x:is>
          <x:t xml:space="preserve">System-design implementation, HA/DR, frontend monitoring, stakeholder communication</x:t>
        </x:is>
      </x:c>
      <x:c r="G72" s="43" t="inlineStr">
        <x:is>
          <x:t xml:space="preserve">Frontend error logging; User analytics basics; Web Vitals monitoring; Feature flags; Distributed tracing across UI/API; Monitoring dashboard; Monitoring recap</x:t>
        </x:is>
      </x:c>
      <x:c r="H72" s="51" t="inlineStr">
        <x:is>
          <x:t xml:space="preserve">Implement</x:t>
        </x:is>
      </x:c>
      <x:c r="I72" s="55" t="inlineStr">
        <x:is>
          <x:t xml:space="preserve">Support</x:t>
        </x:is>
      </x:c>
      <x:c r="J72" s="44" t="inlineStr">
        <x:is>
          <x:t xml:space="preserve">Not Started</x:t>
        </x:is>
      </x:c>
      <x:c r="K72" s="44" t="n"/>
      <x:c r="L72" s="63" t="n"/>
      <x:c r="M72" s="64">
        <x:f>IF(L72="","",L72+7)</x:f>
      </x:c>
      <x:c r="N72" s="43" t="inlineStr">
        <x:is>
          <x:t xml:space="preserve">Milestone: design and explain | Update portfolio notes</x:t>
        </x:is>
      </x:c>
    </x:row>
    <x:row r="73" s="11" customFormat="1" ht="36" customHeight="1">
      <x:c r="A73" s="51" t="inlineStr">
        <x:is>
          <x:t xml:space="preserve">W14-ARCH</x:t>
        </x:is>
      </x:c>
      <x:c r="B73" s="43" t="inlineStr">
        <x:is>
          <x:t xml:space="preserve">Architecture / Design</x:t>
        </x:is>
      </x:c>
      <x:c r="C73" s="54" t="inlineStr">
        <x:is>
          <x:t xml:space="preserve">Phase 4: Architect Mode</x:t>
        </x:is>
      </x:c>
      <x:c r="D73" s="51" t="n">
        <x:v>14</x:v>
      </x:c>
      <x:c r="E73" s="51" t="inlineStr">
        <x:is>
          <x:t xml:space="preserve">92-98</x:t>
        </x:is>
      </x:c>
      <x:c r="F73" s="43" t="inlineStr">
        <x:is>
          <x:t xml:space="preserve">System-design implementation, HA/DR, frontend monitoring, stakeholder communication</x:t>
        </x:is>
      </x:c>
      <x:c r="G73" s="43" t="inlineStr">
        <x:is>
          <x:t xml:space="preserve">CAP trade-off exercise; Blue-green vs canary; Active-active vs active-passive; Architecture decision records; Stakeholder communication and trade-off presentation; Architecture review; Retrospective</x:t>
        </x:is>
      </x:c>
      <x:c r="H73" s="51" t="inlineStr">
        <x:is>
          <x:t xml:space="preserve">Explain + Design</x:t>
        </x:is>
      </x:c>
      <x:c r="I73" s="55" t="inlineStr">
        <x:is>
          <x:t xml:space="preserve">Critical</x:t>
        </x:is>
      </x:c>
      <x:c r="J73" s="44" t="inlineStr">
        <x:is>
          <x:t xml:space="preserve">Not Started</x:t>
        </x:is>
      </x:c>
      <x:c r="K73" s="44" t="n"/>
      <x:c r="L73" s="63" t="n"/>
      <x:c r="M73" s="64">
        <x:f>IF(L73="","",L73+7)</x:f>
      </x:c>
      <x:c r="N73" s="43" t="inlineStr">
        <x:is>
          <x:t xml:space="preserve">Milestone: design and explain | Update portfolio notes</x:t>
        </x:is>
      </x:c>
    </x:row>
    <x:row r="74" s="11" customFormat="1" ht="36" customHeight="1">
      <x:c r="A74" s="51" t="inlineStr">
        <x:is>
          <x:t xml:space="preserve">W15-DSA</x:t>
        </x:is>
      </x:c>
      <x:c r="B74" s="43" t="inlineStr">
        <x:is>
          <x:t xml:space="preserve">DSA</x:t>
        </x:is>
      </x:c>
      <x:c r="C74" s="54" t="inlineStr">
        <x:is>
          <x:t xml:space="preserve">Phase 4: Architect Mode</x:t>
        </x:is>
      </x:c>
      <x:c r="D74" s="51" t="n">
        <x:v>15</x:v>
      </x:c>
      <x:c r="E74" s="51" t="inlineStr">
        <x:is>
          <x:t xml:space="preserve">99-105</x:t>
        </x:is>
      </x:c>
      <x:c r="F74" s="43" t="inlineStr">
        <x:is>
          <x:t xml:space="preserve">GenAI basics, LLM integration, RAG, chat UI, AI architecture and governance</x:t>
        </x:is>
      </x:c>
      <x:c r="G74" s="43" t="inlineStr">
        <x:is>
          <x:t xml:space="preserve">Weak-area DSA set 1; Weak-area DSA set 2; Weak-area DSA set 3; Weak-area DSA set 4; Weak-area DSA set 5; Weekend build: RAG prototype; Weekly review + risk list</x:t>
        </x:is>
      </x:c>
      <x:c r="H74" s="51" t="inlineStr">
        <x:is>
          <x:t xml:space="preserve">Solve + Explain</x:t>
        </x:is>
      </x:c>
      <x:c r="I74" s="55" t="inlineStr">
        <x:is>
          <x:t xml:space="preserve">Medium</x:t>
        </x:is>
      </x:c>
      <x:c r="J74" s="44" t="inlineStr">
        <x:is>
          <x:t xml:space="preserve">Not Started</x:t>
        </x:is>
      </x:c>
      <x:c r="K74" s="44" t="n"/>
      <x:c r="L74" s="63" t="n"/>
      <x:c r="M74" s="64">
        <x:f>IF(L74="","",L74+7)</x:f>
      </x:c>
      <x:c r="N74" s="43" t="inlineStr">
        <x:is>
          <x:t xml:space="preserve">Milestone: GenAI slice | Update AI design notes</x:t>
        </x:is>
      </x:c>
    </x:row>
    <x:row r="75" s="11" customFormat="1" ht="36" customHeight="1">
      <x:c r="A75" s="51" t="inlineStr">
        <x:is>
          <x:t xml:space="preserve">W15-JAVA</x:t>
        </x:is>
      </x:c>
      <x:c r="B75" s="43" t="inlineStr">
        <x:is>
          <x:t xml:space="preserve">Java / Spring</x:t>
        </x:is>
      </x:c>
      <x:c r="C75" s="54" t="inlineStr">
        <x:is>
          <x:t xml:space="preserve">Phase 4: Architect Mode</x:t>
        </x:is>
      </x:c>
      <x:c r="D75" s="51" t="n">
        <x:v>15</x:v>
      </x:c>
      <x:c r="E75" s="51" t="inlineStr">
        <x:is>
          <x:t xml:space="preserve">99-105</x:t>
        </x:is>
      </x:c>
      <x:c r="F75" s="43" t="inlineStr">
        <x:is>
          <x:t xml:space="preserve">GenAI basics, LLM integration, RAG, chat UI, AI architecture and governance</x:t>
        </x:is>
      </x:c>
      <x:c r="G75" s="43" t="inlineStr">
        <x:is>
          <x:t xml:space="preserve">Integrate an LLM API from Java; Embeddings and vector DB concepts; Chunking and retrieval orchestration; Guardrails and output validation; Evaluation of prompts/responses; Backend + retrieval integration; AI backend recap</x:t>
        </x:is>
      </x:c>
      <x:c r="H75" s="51" t="inlineStr">
        <x:is>
          <x:t xml:space="preserve">Implement + Explain</x:t>
        </x:is>
      </x:c>
      <x:c r="I75" s="55" t="inlineStr">
        <x:is>
          <x:t xml:space="preserve">High</x:t>
        </x:is>
      </x:c>
      <x:c r="J75" s="44" t="inlineStr">
        <x:is>
          <x:t xml:space="preserve">Not Started</x:t>
        </x:is>
      </x:c>
      <x:c r="K75" s="44" t="n"/>
      <x:c r="L75" s="63" t="n"/>
      <x:c r="M75" s="64">
        <x:f>IF(L75="","",L75+7)</x:f>
      </x:c>
      <x:c r="N75" s="43" t="inlineStr">
        <x:is>
          <x:t xml:space="preserve">Milestone: GenAI slice | Update AI design notes</x:t>
        </x:is>
      </x:c>
    </x:row>
    <x:row r="76" s="11" customFormat="1" ht="36" customHeight="1">
      <x:c r="A76" s="51" t="inlineStr">
        <x:is>
          <x:t xml:space="preserve">W15-AWS</x:t>
        </x:is>
      </x:c>
      <x:c r="B76" s="43" t="inlineStr">
        <x:is>
          <x:t xml:space="preserve">AWS / DevOps</x:t>
        </x:is>
      </x:c>
      <x:c r="C76" s="54" t="inlineStr">
        <x:is>
          <x:t xml:space="preserve">Phase 4: Architect Mode</x:t>
        </x:is>
      </x:c>
      <x:c r="D76" s="51" t="n">
        <x:v>15</x:v>
      </x:c>
      <x:c r="E76" s="51" t="inlineStr">
        <x:is>
          <x:t xml:space="preserve">99-105</x:t>
        </x:is>
      </x:c>
      <x:c r="F76" s="43" t="inlineStr">
        <x:is>
          <x:t xml:space="preserve">GenAI basics, LLM integration, RAG, chat UI, AI architecture and governance</x:t>
        </x:is>
      </x:c>
      <x:c r="G76" s="43" t="inlineStr">
        <x:is>
          <x:t xml:space="preserve">S3 knowledge-base basics; Document ingestion pipeline; Async processing for ingestion; Auth/rate limits for AI features; Latency and cost controls for AI; Storage and async pipeline review; AWS recap</x:t>
        </x:is>
      </x:c>
      <x:c r="H76" s="51" t="inlineStr">
        <x:is>
          <x:t xml:space="preserve">Implement + Explain</x:t>
        </x:is>
      </x:c>
      <x:c r="I76" s="55" t="inlineStr">
        <x:is>
          <x:t xml:space="preserve">Critical</x:t>
        </x:is>
      </x:c>
      <x:c r="J76" s="44" t="inlineStr">
        <x:is>
          <x:t xml:space="preserve">Not Started</x:t>
        </x:is>
      </x:c>
      <x:c r="K76" s="44" t="n"/>
      <x:c r="L76" s="63" t="n"/>
      <x:c r="M76" s="64">
        <x:f>IF(L76="","",L76+7)</x:f>
      </x:c>
      <x:c r="N76" s="43" t="inlineStr">
        <x:is>
          <x:t xml:space="preserve">Milestone: GenAI slice | Update AI design notes</x:t>
        </x:is>
      </x:c>
    </x:row>
    <x:row r="77" s="11" customFormat="1" ht="36" customHeight="1">
      <x:c r="A77" s="51" t="inlineStr">
        <x:is>
          <x:t xml:space="preserve">W15-REAC</x:t>
        </x:is>
      </x:c>
      <x:c r="B77" s="43" t="inlineStr">
        <x:is>
          <x:t xml:space="preserve">React / Frontend</x:t>
        </x:is>
      </x:c>
      <x:c r="C77" s="54" t="inlineStr">
        <x:is>
          <x:t xml:space="preserve">Phase 4: Architect Mode</x:t>
        </x:is>
      </x:c>
      <x:c r="D77" s="51" t="n">
        <x:v>15</x:v>
      </x:c>
      <x:c r="E77" s="51" t="inlineStr">
        <x:is>
          <x:t xml:space="preserve">99-105</x:t>
        </x:is>
      </x:c>
      <x:c r="F77" s="43" t="inlineStr">
        <x:is>
          <x:t xml:space="preserve">GenAI basics, LLM integration, RAG, chat UI, AI architecture and governance</x:t>
        </x:is>
      </x:c>
      <x:c r="G77" s="43" t="inlineStr">
        <x:is>
          <x:t xml:space="preserve">Chat UI skeleton; Streaming response UI; Chat state management; Citation UI patterns; Conversation memory patterns; Polish chat UX; UI recap</x:t>
        </x:is>
      </x:c>
      <x:c r="H77" s="51" t="inlineStr">
        <x:is>
          <x:t xml:space="preserve">Implement</x:t>
        </x:is>
      </x:c>
      <x:c r="I77" s="55" t="inlineStr">
        <x:is>
          <x:t xml:space="preserve">Support</x:t>
        </x:is>
      </x:c>
      <x:c r="J77" s="44" t="inlineStr">
        <x:is>
          <x:t xml:space="preserve">Not Started</x:t>
        </x:is>
      </x:c>
      <x:c r="K77" s="44" t="n"/>
      <x:c r="L77" s="63" t="n"/>
      <x:c r="M77" s="64">
        <x:f>IF(L77="","",L77+7)</x:f>
      </x:c>
      <x:c r="N77" s="43" t="inlineStr">
        <x:is>
          <x:t xml:space="preserve">Milestone: GenAI slice | Update AI design notes</x:t>
        </x:is>
      </x:c>
    </x:row>
    <x:row r="78" s="11" customFormat="1" ht="36" customHeight="1">
      <x:c r="A78" s="51" t="inlineStr">
        <x:is>
          <x:t xml:space="preserve">W15-ARCH</x:t>
        </x:is>
      </x:c>
      <x:c r="B78" s="43" t="inlineStr">
        <x:is>
          <x:t xml:space="preserve">Architecture / Design</x:t>
        </x:is>
      </x:c>
      <x:c r="C78" s="54" t="inlineStr">
        <x:is>
          <x:t xml:space="preserve">Phase 4: Architect Mode</x:t>
        </x:is>
      </x:c>
      <x:c r="D78" s="51" t="n">
        <x:v>15</x:v>
      </x:c>
      <x:c r="E78" s="51" t="inlineStr">
        <x:is>
          <x:t xml:space="preserve">99-105</x:t>
        </x:is>
      </x:c>
      <x:c r="F78" s="43" t="inlineStr">
        <x:is>
          <x:t xml:space="preserve">GenAI basics, LLM integration, RAG, chat UI, AI architecture and governance</x:t>
        </x:is>
      </x:c>
      <x:c r="G78" s="43" t="inlineStr">
        <x:is>
          <x:t xml:space="preserve">Prompt engineering basics; RAG architecture; Grounding and hallucination controls; AI security and privacy; GenAI product trade-offs; AI architecture review; Retrospective</x:t>
        </x:is>
      </x:c>
      <x:c r="H78" s="51" t="inlineStr">
        <x:is>
          <x:t xml:space="preserve">Explain + Design</x:t>
        </x:is>
      </x:c>
      <x:c r="I78" s="55" t="inlineStr">
        <x:is>
          <x:t xml:space="preserve">Critical</x:t>
        </x:is>
      </x:c>
      <x:c r="J78" s="44" t="inlineStr">
        <x:is>
          <x:t xml:space="preserve">Not Started</x:t>
        </x:is>
      </x:c>
      <x:c r="K78" s="44" t="n"/>
      <x:c r="L78" s="63" t="n"/>
      <x:c r="M78" s="64">
        <x:f>IF(L78="","",L78+7)</x:f>
      </x:c>
      <x:c r="N78" s="43" t="inlineStr">
        <x:is>
          <x:t xml:space="preserve">Milestone: GenAI slice | Update AI design notes</x:t>
        </x:is>
      </x:c>
    </x:row>
    <x:row r="79" s="11" customFormat="1" ht="36" customHeight="1">
      <x:c r="A79" s="51" t="inlineStr">
        <x:is>
          <x:t xml:space="preserve">W16-DSA</x:t>
        </x:is>
      </x:c>
      <x:c r="B79" s="43" t="inlineStr">
        <x:is>
          <x:t xml:space="preserve">DSA</x:t>
        </x:is>
      </x:c>
      <x:c r="C79" s="54" t="inlineStr">
        <x:is>
          <x:t xml:space="preserve">Phase 4: Architect Mode</x:t>
        </x:is>
      </x:c>
      <x:c r="D79" s="51" t="n">
        <x:v>16</x:v>
      </x:c>
      <x:c r="E79" s="51" t="inlineStr">
        <x:is>
          <x:t xml:space="preserve">106-112</x:t>
        </x:is>
      </x:c>
      <x:c r="F79" s="43" t="inlineStr">
        <x:is>
          <x:t xml:space="preserve">Capstone planning and build sprint 1: domain model, auth, core services, routing, NFRs</x:t>
        </x:is>
      </x:c>
      <x:c r="G79" s="43" t="inlineStr">
        <x:is>
          <x:t xml:space="preserve">Timed DSA mock 1; DSA correction day; DSA weak-area review; DSA weak-area review; DSA weak-area review; Full mock + build sprint; Bug-fix and review</x:t>
        </x:is>
      </x:c>
      <x:c r="H79" s="51" t="inlineStr">
        <x:is>
          <x:t xml:space="preserve">Solve + Explain</x:t>
        </x:is>
      </x:c>
      <x:c r="I79" s="55" t="inlineStr">
        <x:is>
          <x:t xml:space="preserve">Medium</x:t>
        </x:is>
      </x:c>
      <x:c r="J79" s="44" t="inlineStr">
        <x:is>
          <x:t xml:space="preserve">Not Started</x:t>
        </x:is>
      </x:c>
      <x:c r="K79" s="44" t="n"/>
      <x:c r="L79" s="63" t="n"/>
      <x:c r="M79" s="64">
        <x:f>IF(L79="","",L79+7)</x:f>
      </x:c>
      <x:c r="N79" s="43" t="inlineStr">
        <x:is>
          <x:t xml:space="preserve">Staging demo | Update gap list</x:t>
        </x:is>
      </x:c>
    </x:row>
    <x:row r="80" s="11" customFormat="1" ht="36" customHeight="1">
      <x:c r="A80" s="51" t="inlineStr">
        <x:is>
          <x:t xml:space="preserve">W16-JAVA</x:t>
        </x:is>
      </x:c>
      <x:c r="B80" s="43" t="inlineStr">
        <x:is>
          <x:t xml:space="preserve">Java / Spring</x:t>
        </x:is>
      </x:c>
      <x:c r="C80" s="54" t="inlineStr">
        <x:is>
          <x:t xml:space="preserve">Phase 4: Architect Mode</x:t>
        </x:is>
      </x:c>
      <x:c r="D80" s="51" t="n">
        <x:v>16</x:v>
      </x:c>
      <x:c r="E80" s="51" t="inlineStr">
        <x:is>
          <x:t xml:space="preserve">106-112</x:t>
        </x:is>
      </x:c>
      <x:c r="F80" s="43" t="inlineStr">
        <x:is>
          <x:t xml:space="preserve">Capstone planning and build sprint 1: domain model, auth, core services, routing, NFRs</x:t>
        </x:is>
      </x:c>
      <x:c r="G80" s="43" t="inlineStr">
        <x:is>
          <x:t xml:space="preserve">Capstone scope and domain model; Auth/user service; Core business service; Async/event service; Integration tests for backend; Capstone sprint day; Refactor core modules</x:t>
        </x:is>
      </x:c>
      <x:c r="H80" s="51" t="inlineStr">
        <x:is>
          <x:t xml:space="preserve">Implement + Explain</x:t>
        </x:is>
      </x:c>
      <x:c r="I80" s="55" t="inlineStr">
        <x:is>
          <x:t xml:space="preserve">High</x:t>
        </x:is>
      </x:c>
      <x:c r="J80" s="44" t="inlineStr">
        <x:is>
          <x:t xml:space="preserve">Not Started</x:t>
        </x:is>
      </x:c>
      <x:c r="K80" s="44" t="n"/>
      <x:c r="L80" s="63" t="n"/>
      <x:c r="M80" s="64">
        <x:f>IF(L80="","",L80+7)</x:f>
      </x:c>
      <x:c r="N80" s="43" t="inlineStr">
        <x:is>
          <x:t xml:space="preserve">Staging demo | Update gap list</x:t>
        </x:is>
      </x:c>
    </x:row>
    <x:row r="81" s="11" customFormat="1" ht="36" customHeight="1">
      <x:c r="A81" s="51" t="inlineStr">
        <x:is>
          <x:t xml:space="preserve">W16-AWS</x:t>
        </x:is>
      </x:c>
      <x:c r="B81" s="43" t="inlineStr">
        <x:is>
          <x:t xml:space="preserve">AWS / DevOps</x:t>
        </x:is>
      </x:c>
      <x:c r="C81" s="54" t="inlineStr">
        <x:is>
          <x:t xml:space="preserve">Phase 4: Architect Mode</x:t>
        </x:is>
      </x:c>
      <x:c r="D81" s="51" t="n">
        <x:v>16</x:v>
      </x:c>
      <x:c r="E81" s="51" t="inlineStr">
        <x:is>
          <x:t xml:space="preserve">106-112</x:t>
        </x:is>
      </x:c>
      <x:c r="F81" s="43" t="inlineStr">
        <x:is>
          <x:t xml:space="preserve">Capstone planning and build sprint 1: domain model, auth, core services, routing, NFRs</x:t>
        </x:is>
      </x:c>
      <x:c r="G81" s="43" t="inlineStr">
        <x:is>
          <x:t xml:space="preserve">Choose AWS reference architecture; Networking and IAM setup; Database and storage setup; Queue/cache integration; Monitoring and security baseline; Deploy staging; Cost review</x:t>
        </x:is>
      </x:c>
      <x:c r="H81" s="51" t="inlineStr">
        <x:is>
          <x:t xml:space="preserve">Implement + Explain</x:t>
        </x:is>
      </x:c>
      <x:c r="I81" s="55" t="inlineStr">
        <x:is>
          <x:t xml:space="preserve">Critical</x:t>
        </x:is>
      </x:c>
      <x:c r="J81" s="44" t="inlineStr">
        <x:is>
          <x:t xml:space="preserve">Not Started</x:t>
        </x:is>
      </x:c>
      <x:c r="K81" s="44" t="n"/>
      <x:c r="L81" s="63" t="n"/>
      <x:c r="M81" s="64">
        <x:f>IF(L81="","",L81+7)</x:f>
      </x:c>
      <x:c r="N81" s="43" t="inlineStr">
        <x:is>
          <x:t xml:space="preserve">Staging demo | Update gap list</x:t>
        </x:is>
      </x:c>
    </x:row>
    <x:row r="82" s="11" customFormat="1" ht="36" customHeight="1">
      <x:c r="A82" s="51" t="inlineStr">
        <x:is>
          <x:t xml:space="preserve">W16-REAC</x:t>
        </x:is>
      </x:c>
      <x:c r="B82" s="43" t="inlineStr">
        <x:is>
          <x:t xml:space="preserve">React / Frontend</x:t>
        </x:is>
      </x:c>
      <x:c r="C82" s="54" t="inlineStr">
        <x:is>
          <x:t xml:space="preserve">Phase 4: Architect Mode</x:t>
        </x:is>
      </x:c>
      <x:c r="D82" s="51" t="n">
        <x:v>16</x:v>
      </x:c>
      <x:c r="E82" s="51" t="inlineStr">
        <x:is>
          <x:t xml:space="preserve">106-112</x:t>
        </x:is>
      </x:c>
      <x:c r="F82" s="43" t="inlineStr">
        <x:is>
          <x:t xml:space="preserve">Capstone planning and build sprint 1: domain model, auth, core services, routing, NFRs</x:t>
        </x:is>
      </x:c>
      <x:c r="G82" s="43" t="inlineStr">
        <x:is>
          <x:t xml:space="preserve">App shell and route map; Layout and auth flow; API client and data flow; Feature pages build; UX polish; Hook up UI to APIs; Refine UX</x:t>
        </x:is>
      </x:c>
      <x:c r="H82" s="51" t="inlineStr">
        <x:is>
          <x:t xml:space="preserve">Implement</x:t>
        </x:is>
      </x:c>
      <x:c r="I82" s="55" t="inlineStr">
        <x:is>
          <x:t xml:space="preserve">Support</x:t>
        </x:is>
      </x:c>
      <x:c r="J82" s="44" t="inlineStr">
        <x:is>
          <x:t xml:space="preserve">Not Started</x:t>
        </x:is>
      </x:c>
      <x:c r="K82" s="44" t="n"/>
      <x:c r="L82" s="63" t="n"/>
      <x:c r="M82" s="64">
        <x:f>IF(L82="","",L82+7)</x:f>
      </x:c>
      <x:c r="N82" s="43" t="inlineStr">
        <x:is>
          <x:t xml:space="preserve">Staging demo | Update gap list</x:t>
        </x:is>
      </x:c>
    </x:row>
    <x:row r="83" s="11" customFormat="1" ht="36" customHeight="1">
      <x:c r="A83" s="51" t="inlineStr">
        <x:is>
          <x:t xml:space="preserve">W16-ARCH</x:t>
        </x:is>
      </x:c>
      <x:c r="B83" s="43" t="inlineStr">
        <x:is>
          <x:t xml:space="preserve">Architecture / Design</x:t>
        </x:is>
      </x:c>
      <x:c r="C83" s="54" t="inlineStr">
        <x:is>
          <x:t xml:space="preserve">Phase 4: Architect Mode</x:t>
        </x:is>
      </x:c>
      <x:c r="D83" s="51" t="n">
        <x:v>16</x:v>
      </x:c>
      <x:c r="E83" s="51" t="inlineStr">
        <x:is>
          <x:t xml:space="preserve">106-112</x:t>
        </x:is>
      </x:c>
      <x:c r="F83" s="43" t="inlineStr">
        <x:is>
          <x:t xml:space="preserve">Capstone planning and build sprint 1: domain model, auth, core services, routing, NFRs</x:t>
        </x:is>
      </x:c>
      <x:c r="G83" s="43" t="inlineStr">
        <x:is>
          <x:t xml:space="preserve">NFRs and acceptance criteria; ADR 1; ADR 2; Test plan; Deployment checklist; Architecture review; Retrospective</x:t>
        </x:is>
      </x:c>
      <x:c r="H83" s="51" t="inlineStr">
        <x:is>
          <x:t xml:space="preserve">Explain + Design</x:t>
        </x:is>
      </x:c>
      <x:c r="I83" s="55" t="inlineStr">
        <x:is>
          <x:t xml:space="preserve">Critical</x:t>
        </x:is>
      </x:c>
      <x:c r="J83" s="44" t="inlineStr">
        <x:is>
          <x:t xml:space="preserve">Not Started</x:t>
        </x:is>
      </x:c>
      <x:c r="K83" s="44" t="n"/>
      <x:c r="L83" s="63" t="n"/>
      <x:c r="M83" s="64">
        <x:f>IF(L83="","",L83+7)</x:f>
      </x:c>
      <x:c r="N83" s="43" t="inlineStr">
        <x:is>
          <x:t xml:space="preserve">Staging demo | Update gap list</x:t>
        </x:is>
      </x:c>
    </x:row>
    <x:row r="84" s="11" customFormat="1" ht="36" customHeight="1">
      <x:c r="A84" s="51" t="inlineStr">
        <x:is>
          <x:t xml:space="preserve">W17-DSA</x:t>
        </x:is>
      </x:c>
      <x:c r="B84" s="43" t="inlineStr">
        <x:is>
          <x:t xml:space="preserve">DSA</x:t>
        </x:is>
      </x:c>
      <x:c r="C84" s="54" t="inlineStr">
        <x:is>
          <x:t xml:space="preserve">Phase 4: Architect Mode</x:t>
        </x:is>
      </x:c>
      <x:c r="D84" s="51" t="n">
        <x:v>17</x:v>
      </x:c>
      <x:c r="E84" s="51" t="inlineStr">
        <x:is>
          <x:t xml:space="preserve">113-119</x:t>
        </x:is>
      </x:c>
      <x:c r="F84" s="43" t="inlineStr">
        <x:is>
          <x:t xml:space="preserve">Capstone sprint 2: optimization, security, DR, docs, presentation</x:t>
        </x:is>
      </x:c>
      <x:c r="G84" s="43" t="inlineStr">
        <x:is>
          <x:t xml:space="preserve">Timed DSA mock 2; Timed DSA mock 3; Timed DSA mock 4; Timed DSA mock 5; Timed DSA mock 6; Weekend end-to-end demo; Final week retrospective</x:t>
        </x:is>
      </x:c>
      <x:c r="H84" s="51" t="inlineStr">
        <x:is>
          <x:t xml:space="preserve">Solve + Explain</x:t>
        </x:is>
      </x:c>
      <x:c r="I84" s="55" t="inlineStr">
        <x:is>
          <x:t xml:space="preserve">Medium</x:t>
        </x:is>
      </x:c>
      <x:c r="J84" s="44" t="inlineStr">
        <x:is>
          <x:t xml:space="preserve">Not Started</x:t>
        </x:is>
      </x:c>
      <x:c r="K84" s="44" t="n"/>
      <x:c r="L84" s="63" t="n"/>
      <x:c r="M84" s="64">
        <x:f>IF(L84="","",L84+7)</x:f>
      </x:c>
      <x:c r="N84" s="43" t="inlineStr">
        <x:is>
          <x:t xml:space="preserve">Milestone: end-to-end solution | Prepare final assessment</x:t>
        </x:is>
      </x:c>
    </x:row>
    <x:row r="85" s="11" customFormat="1" ht="36" customHeight="1">
      <x:c r="A85" s="51" t="inlineStr">
        <x:is>
          <x:t xml:space="preserve">W17-JAVA</x:t>
        </x:is>
      </x:c>
      <x:c r="B85" s="43" t="inlineStr">
        <x:is>
          <x:t xml:space="preserve">Java / Spring</x:t>
        </x:is>
      </x:c>
      <x:c r="C85" s="54" t="inlineStr">
        <x:is>
          <x:t xml:space="preserve">Phase 4: Architect Mode</x:t>
        </x:is>
      </x:c>
      <x:c r="D85" s="51" t="n">
        <x:v>17</x:v>
      </x:c>
      <x:c r="E85" s="51" t="inlineStr">
        <x:is>
          <x:t xml:space="preserve">113-119</x:t>
        </x:is>
      </x:c>
      <x:c r="F85" s="43" t="inlineStr">
        <x:is>
          <x:t xml:space="preserve">Capstone sprint 2: optimization, security, DR, docs, presentation</x:t>
        </x:is>
      </x:c>
      <x:c r="G85" s="43" t="inlineStr">
        <x:is>
          <x:t xml:space="preserve">Optimize service hotspots; Security hardening; Failure handling and retries; Final code cleanup; Mock architect presentation; Capstone polish and bugfix; Gap closure</x:t>
        </x:is>
      </x:c>
      <x:c r="H85" s="51" t="inlineStr">
        <x:is>
          <x:t xml:space="preserve">Implement + Explain</x:t>
        </x:is>
      </x:c>
      <x:c r="I85" s="55" t="inlineStr">
        <x:is>
          <x:t xml:space="preserve">High</x:t>
        </x:is>
      </x:c>
      <x:c r="J85" s="44" t="inlineStr">
        <x:is>
          <x:t xml:space="preserve">Not Started</x:t>
        </x:is>
      </x:c>
      <x:c r="K85" s="44" t="n"/>
      <x:c r="L85" s="63" t="n"/>
      <x:c r="M85" s="64">
        <x:f>IF(L85="","",L85+7)</x:f>
      </x:c>
      <x:c r="N85" s="43" t="inlineStr">
        <x:is>
          <x:t xml:space="preserve">Milestone: end-to-end solution | Prepare final assessment</x:t>
        </x:is>
      </x:c>
    </x:row>
    <x:row r="86" s="11" customFormat="1" ht="36" customHeight="1">
      <x:c r="A86" s="51" t="inlineStr">
        <x:is>
          <x:t xml:space="preserve">W17-AWS</x:t>
        </x:is>
      </x:c>
      <x:c r="B86" s="43" t="inlineStr">
        <x:is>
          <x:t xml:space="preserve">AWS / DevOps</x:t>
        </x:is>
      </x:c>
      <x:c r="C86" s="54" t="inlineStr">
        <x:is>
          <x:t xml:space="preserve">Phase 4: Architect Mode</x:t>
        </x:is>
      </x:c>
      <x:c r="D86" s="51" t="n">
        <x:v>17</x:v>
      </x:c>
      <x:c r="E86" s="51" t="inlineStr">
        <x:is>
          <x:t xml:space="preserve">113-119</x:t>
        </x:is>
      </x:c>
      <x:c r="F86" s="43" t="inlineStr">
        <x:is>
          <x:t xml:space="preserve">Capstone sprint 2: optimization, security, DR, docs, presentation</x:t>
        </x:is>
      </x:c>
      <x:c r="G86" s="43" t="inlineStr">
        <x:is>
          <x:t xml:space="preserve">Autoscaling and cost controls; CloudFront/WAF/Route53 if relevant; Backups and DR review; CI/CD hardening; Final Well-Architected review; Deployment validation; Ops checklist</x:t>
        </x:is>
      </x:c>
      <x:c r="H86" s="51" t="inlineStr">
        <x:is>
          <x:t xml:space="preserve">Implement + Explain</x:t>
        </x:is>
      </x:c>
      <x:c r="I86" s="55" t="inlineStr">
        <x:is>
          <x:t xml:space="preserve">Critical</x:t>
        </x:is>
      </x:c>
      <x:c r="J86" s="44" t="inlineStr">
        <x:is>
          <x:t xml:space="preserve">Not Started</x:t>
        </x:is>
      </x:c>
      <x:c r="K86" s="44" t="n"/>
      <x:c r="L86" s="63" t="n"/>
      <x:c r="M86" s="64">
        <x:f>IF(L86="","",L86+7)</x:f>
      </x:c>
      <x:c r="N86" s="43" t="inlineStr">
        <x:is>
          <x:t xml:space="preserve">Milestone: end-to-end solution | Prepare final assessment</x:t>
        </x:is>
      </x:c>
    </x:row>
    <x:row r="87" s="11" customFormat="1" ht="36" customHeight="1">
      <x:c r="A87" s="51" t="inlineStr">
        <x:is>
          <x:t xml:space="preserve">W17-REAC</x:t>
        </x:is>
      </x:c>
      <x:c r="B87" s="43" t="inlineStr">
        <x:is>
          <x:t xml:space="preserve">React / Frontend</x:t>
        </x:is>
      </x:c>
      <x:c r="C87" s="54" t="inlineStr">
        <x:is>
          <x:t xml:space="preserve">Phase 4: Architect Mode</x:t>
        </x:is>
      </x:c>
      <x:c r="D87" s="51" t="n">
        <x:v>17</x:v>
      </x:c>
      <x:c r="E87" s="51" t="inlineStr">
        <x:is>
          <x:t xml:space="preserve">113-119</x:t>
        </x:is>
      </x:c>
      <x:c r="F87" s="43" t="inlineStr">
        <x:is>
          <x:t xml:space="preserve">Capstone sprint 2: optimization, security, DR, docs, presentation</x:t>
        </x:is>
      </x:c>
      <x:c r="G87" s="43" t="inlineStr">
        <x:is>
          <x:t xml:space="preserve">Frontend performance fixes; Frontend tests; Accessibility fixes; Final production build; Metrics dashboard; UX polish and docs; UI checklist</x:t>
        </x:is>
      </x:c>
      <x:c r="H87" s="51" t="inlineStr">
        <x:is>
          <x:t xml:space="preserve">Implement</x:t>
        </x:is>
      </x:c>
      <x:c r="I87" s="55" t="inlineStr">
        <x:is>
          <x:t xml:space="preserve">Support</x:t>
        </x:is>
      </x:c>
      <x:c r="J87" s="44" t="inlineStr">
        <x:is>
          <x:t xml:space="preserve">Not Started</x:t>
        </x:is>
      </x:c>
      <x:c r="K87" s="44" t="n"/>
      <x:c r="L87" s="63" t="n"/>
      <x:c r="M87" s="64">
        <x:f>IF(L87="","",L87+7)</x:f>
      </x:c>
      <x:c r="N87" s="43" t="inlineStr">
        <x:is>
          <x:t xml:space="preserve">Milestone: end-to-end solution | Prepare final assessment</x:t>
        </x:is>
      </x:c>
    </x:row>
    <x:row r="88" s="11" customFormat="1" ht="36" customHeight="1">
      <x:c r="A88" s="51" t="inlineStr">
        <x:is>
          <x:t xml:space="preserve">W17-ARCH</x:t>
        </x:is>
      </x:c>
      <x:c r="B88" s="43" t="inlineStr">
        <x:is>
          <x:t xml:space="preserve">Architecture / Design</x:t>
        </x:is>
      </x:c>
      <x:c r="C88" s="54" t="inlineStr">
        <x:is>
          <x:t xml:space="preserve">Phase 4: Architect Mode</x:t>
        </x:is>
      </x:c>
      <x:c r="D88" s="51" t="n">
        <x:v>17</x:v>
      </x:c>
      <x:c r="E88" s="51" t="inlineStr">
        <x:is>
          <x:t xml:space="preserve">113-119</x:t>
        </x:is>
      </x:c>
      <x:c r="F88" s="43" t="inlineStr">
        <x:is>
          <x:t xml:space="preserve">Capstone sprint 2: optimization, security, DR, docs, presentation</x:t>
        </x:is>
      </x:c>
      <x:c r="G88" s="43" t="inlineStr">
        <x:is>
          <x:t xml:space="preserve">Architecture diagram; Runbook; Incident scenarios; Presentation draft; Resume bullets and portfolio notes; Stakeholder-style Q&amp;A; Retrospective</x:t>
        </x:is>
      </x:c>
      <x:c r="H88" s="51" t="inlineStr">
        <x:is>
          <x:t xml:space="preserve">Explain + Design</x:t>
        </x:is>
      </x:c>
      <x:c r="I88" s="55" t="inlineStr">
        <x:is>
          <x:t xml:space="preserve">Critical</x:t>
        </x:is>
      </x:c>
      <x:c r="J88" s="44" t="inlineStr">
        <x:is>
          <x:t xml:space="preserve">Not Started</x:t>
        </x:is>
      </x:c>
      <x:c r="K88" s="44" t="n"/>
      <x:c r="L88" s="63" t="n"/>
      <x:c r="M88" s="64">
        <x:f>IF(L88="","",L88+7)</x:f>
      </x:c>
      <x:c r="N88" s="43" t="inlineStr">
        <x:is>
          <x:t xml:space="preserve">Milestone: end-to-end solution | Prepare final assessment</x:t>
        </x:is>
      </x:c>
    </x:row>
    <x:row r="89" s="11" customFormat="1" ht="36" customHeight="1">
      <x:c r="A89" s="51" t="inlineStr">
        <x:is>
          <x:t xml:space="preserve">W18-DSA</x:t>
        </x:is>
      </x:c>
      <x:c r="B89" s="43" t="inlineStr">
        <x:is>
          <x:t xml:space="preserve">DSA</x:t>
        </x:is>
      </x:c>
      <x:c r="C89" s="54" t="inlineStr">
        <x:is>
          <x:t xml:space="preserve">Phase 4: Architect Mode</x:t>
        </x:is>
      </x:c>
      <x:c r="D89" s="51" t="n">
        <x:v>18</x:v>
      </x:c>
      <x:c r="E89" s="51" t="inlineStr">
        <x:is>
          <x:t xml:space="preserve">120-120</x:t>
        </x:is>
      </x:c>
      <x:c r="F89" s="43" t="inlineStr">
        <x:is>
          <x:t xml:space="preserve">Final consolidation and architect presentation</x:t>
        </x:is>
      </x:c>
      <x:c r="G89" s="43" t="inlineStr">
        <x:is>
          <x:t xml:space="preserve">Final DSA mock + pattern sheet</x:t>
        </x:is>
      </x:c>
      <x:c r="H89" s="51" t="inlineStr">
        <x:is>
          <x:t xml:space="preserve">Solve + Explain</x:t>
        </x:is>
      </x:c>
      <x:c r="I89" s="55" t="inlineStr">
        <x:is>
          <x:t xml:space="preserve">Medium</x:t>
        </x:is>
      </x:c>
      <x:c r="J89" s="44" t="inlineStr">
        <x:is>
          <x:t xml:space="preserve">Not Started</x:t>
        </x:is>
      </x:c>
      <x:c r="K89" s="44" t="n"/>
      <x:c r="L89" s="63" t="n"/>
      <x:c r="M89" s="64">
        <x:f>IF(L89="","",L89+7)</x:f>
      </x:c>
      <x:c r="N89" s="43" t="inlineStr">
        <x:is>
          <x:t xml:space="preserve">Final recap / continuation notes</x:t>
        </x:is>
      </x:c>
    </x:row>
    <x:row r="90" s="11" customFormat="1" ht="36" customHeight="1">
      <x:c r="A90" s="51" t="inlineStr">
        <x:is>
          <x:t xml:space="preserve">W18-JAVA</x:t>
        </x:is>
      </x:c>
      <x:c r="B90" s="43" t="inlineStr">
        <x:is>
          <x:t xml:space="preserve">Java / Spring</x:t>
        </x:is>
      </x:c>
      <x:c r="C90" s="54" t="inlineStr">
        <x:is>
          <x:t xml:space="preserve">Phase 4: Architect Mode</x:t>
        </x:is>
      </x:c>
      <x:c r="D90" s="51" t="n">
        <x:v>18</x:v>
      </x:c>
      <x:c r="E90" s="51" t="inlineStr">
        <x:is>
          <x:t xml:space="preserve">120-120</x:t>
        </x:is>
      </x:c>
      <x:c r="F90" s="43" t="inlineStr">
        <x:is>
          <x:t xml:space="preserve">Final consolidation and architect presentation</x:t>
        </x:is>
      </x:c>
      <x:c r="G90" s="43" t="inlineStr">
        <x:is>
          <x:t xml:space="preserve">Java/Spring final recap and interview notes</x:t>
        </x:is>
      </x:c>
      <x:c r="H90" s="51" t="inlineStr">
        <x:is>
          <x:t xml:space="preserve">Implement + Explain</x:t>
        </x:is>
      </x:c>
      <x:c r="I90" s="55" t="inlineStr">
        <x:is>
          <x:t xml:space="preserve">High</x:t>
        </x:is>
      </x:c>
      <x:c r="J90" s="44" t="inlineStr">
        <x:is>
          <x:t xml:space="preserve">Not Started</x:t>
        </x:is>
      </x:c>
      <x:c r="K90" s="44" t="n"/>
      <x:c r="L90" s="63" t="n"/>
      <x:c r="M90" s="64">
        <x:f>IF(L90="","",L90+7)</x:f>
      </x:c>
      <x:c r="N90" s="43" t="inlineStr">
        <x:is>
          <x:t xml:space="preserve">Final recap / continuation notes</x:t>
        </x:is>
      </x:c>
    </x:row>
    <x:row r="91" s="11" customFormat="1" ht="36" customHeight="1">
      <x:c r="A91" s="51" t="inlineStr">
        <x:is>
          <x:t xml:space="preserve">W18-AWS</x:t>
        </x:is>
      </x:c>
      <x:c r="B91" s="43" t="inlineStr">
        <x:is>
          <x:t xml:space="preserve">AWS / DevOps</x:t>
        </x:is>
      </x:c>
      <x:c r="C91" s="54" t="inlineStr">
        <x:is>
          <x:t xml:space="preserve">Phase 4: Architect Mode</x:t>
        </x:is>
      </x:c>
      <x:c r="D91" s="51" t="n">
        <x:v>18</x:v>
      </x:c>
      <x:c r="E91" s="51" t="inlineStr">
        <x:is>
          <x:t xml:space="preserve">120-120</x:t>
        </x:is>
      </x:c>
      <x:c r="F91" s="43" t="inlineStr">
        <x:is>
          <x:t xml:space="preserve">Final consolidation and architect presentation</x:t>
        </x:is>
      </x:c>
      <x:c r="G91" s="43" t="inlineStr">
        <x:is>
          <x:t xml:space="preserve">AWS SAA-style domain review + Well-Architected review</x:t>
        </x:is>
      </x:c>
      <x:c r="H91" s="51" t="inlineStr">
        <x:is>
          <x:t xml:space="preserve">Implement + Explain</x:t>
        </x:is>
      </x:c>
      <x:c r="I91" s="55" t="inlineStr">
        <x:is>
          <x:t xml:space="preserve">Critical</x:t>
        </x:is>
      </x:c>
      <x:c r="J91" s="44" t="inlineStr">
        <x:is>
          <x:t xml:space="preserve">Not Started</x:t>
        </x:is>
      </x:c>
      <x:c r="K91" s="44" t="n"/>
      <x:c r="L91" s="63" t="n"/>
      <x:c r="M91" s="64">
        <x:f>IF(L91="","",L91+7)</x:f>
      </x:c>
      <x:c r="N91" s="43" t="inlineStr">
        <x:is>
          <x:t xml:space="preserve">Final recap / continuation notes</x:t>
        </x:is>
      </x:c>
    </x:row>
    <x:row r="92" s="11" customFormat="1" ht="36" customHeight="1">
      <x:c r="A92" s="51" t="inlineStr">
        <x:is>
          <x:t xml:space="preserve">W18-REAC</x:t>
        </x:is>
      </x:c>
      <x:c r="B92" s="43" t="inlineStr">
        <x:is>
          <x:t xml:space="preserve">React / Frontend</x:t>
        </x:is>
      </x:c>
      <x:c r="C92" s="54" t="inlineStr">
        <x:is>
          <x:t xml:space="preserve">Phase 4: Architect Mode</x:t>
        </x:is>
      </x:c>
      <x:c r="D92" s="51" t="n">
        <x:v>18</x:v>
      </x:c>
      <x:c r="E92" s="51" t="inlineStr">
        <x:is>
          <x:t xml:space="preserve">120-120</x:t>
        </x:is>
      </x:c>
      <x:c r="F92" s="43" t="inlineStr">
        <x:is>
          <x:t xml:space="preserve">Final consolidation and architect presentation</x:t>
        </x:is>
      </x:c>
      <x:c r="G92" s="43" t="inlineStr">
        <x:is>
          <x:t xml:space="preserve">React/frontend architecture final recap</x:t>
        </x:is>
      </x:c>
      <x:c r="H92" s="51" t="inlineStr">
        <x:is>
          <x:t xml:space="preserve">Implement</x:t>
        </x:is>
      </x:c>
      <x:c r="I92" s="55" t="inlineStr">
        <x:is>
          <x:t xml:space="preserve">Support</x:t>
        </x:is>
      </x:c>
      <x:c r="J92" s="44" t="inlineStr">
        <x:is>
          <x:t xml:space="preserve">Not Started</x:t>
        </x:is>
      </x:c>
      <x:c r="K92" s="44" t="n"/>
      <x:c r="L92" s="63" t="n"/>
      <x:c r="M92" s="64">
        <x:f>IF(L92="","",L92+7)</x:f>
      </x:c>
      <x:c r="N92" s="43" t="inlineStr">
        <x:is>
          <x:t xml:space="preserve">Final recap / continuation notes</x:t>
        </x:is>
      </x:c>
    </x:row>
    <x:row r="93" s="11" customFormat="1" ht="36" customHeight="1">
      <x:c r="A93" s="51" t="inlineStr">
        <x:is>
          <x:t xml:space="preserve">W18-ARCH</x:t>
        </x:is>
      </x:c>
      <x:c r="B93" s="43" t="inlineStr">
        <x:is>
          <x:t xml:space="preserve">Architecture / Design</x:t>
        </x:is>
      </x:c>
      <x:c r="C93" s="54" t="inlineStr">
        <x:is>
          <x:t xml:space="preserve">Phase 4: Architect Mode</x:t>
        </x:is>
      </x:c>
      <x:c r="D93" s="51" t="n">
        <x:v>18</x:v>
      </x:c>
      <x:c r="E93" s="51" t="inlineStr">
        <x:is>
          <x:t xml:space="preserve">120-120</x:t>
        </x:is>
      </x:c>
      <x:c r="F93" s="43" t="inlineStr">
        <x:is>
          <x:t xml:space="preserve">Final consolidation and architect presentation</x:t>
        </x:is>
      </x:c>
      <x:c r="G93" s="43" t="inlineStr">
        <x:is>
          <x:t xml:space="preserve">Final solution-architect presentation + next 90-day plan</x:t>
        </x:is>
      </x:c>
      <x:c r="H93" s="51" t="inlineStr">
        <x:is>
          <x:t xml:space="preserve">Explain + Design</x:t>
        </x:is>
      </x:c>
      <x:c r="I93" s="55" t="inlineStr">
        <x:is>
          <x:t xml:space="preserve">Critical</x:t>
        </x:is>
      </x:c>
      <x:c r="J93" s="44" t="inlineStr">
        <x:is>
          <x:t xml:space="preserve">Not Started</x:t>
        </x:is>
      </x:c>
      <x:c r="K93" s="44" t="n"/>
      <x:c r="L93" s="63" t="n"/>
      <x:c r="M93" s="64">
        <x:f>IF(L93="","",L93+7)</x:f>
      </x:c>
      <x:c r="N93" s="43" t="inlineStr">
        <x:is>
          <x:t xml:space="preserve">Final recap / continuation notes</x:t>
        </x:is>
      </x:c>
    </x:row>
    <x:row r="94" s="11" customFormat="1" ht="36" customHeight="1"/>
    <x:row r="95" s="11" customFormat="1" ht="36" customHeight="1"/>
  </x:sheetData>
  <x:mergeCells>
    <x:mergeCell ref="A2:N2"/>
    <x:mergeCell ref="A1:N1"/>
  </x:mergeCells>
  <x:conditionalFormatting sqref="J4:J93">
    <x:cfRule type="expression" dxfId="0" priority="1">
      <x:formula>$J4="Done"</x:formula>
    </x:cfRule>
    <x:cfRule type="expression" dxfId="1" priority="2">
      <x:formula>$J4="Review"</x:formula>
    </x:cfRule>
  </x:conditionalFormatting>
  <x:conditionalFormatting sqref="K4:K93">
    <x:cfRule type="colorScale" priority="3">
      <x:colorScale>
        <x:cfvo type="num" val="1"/>
        <x:cfvo type="num" val="3"/>
        <x:cfvo type="num" val="5"/>
        <x:color rgb="00F8696B"/>
        <x:color rgb="00FFEB84"/>
        <x:color rgb="0063BE7B"/>
      </x:colorScale>
    </x:cfRule>
  </x:conditionalFormatting>
  <x:dataValidations count="4">
    <x:dataValidation type="list" allowBlank="1" showDropDown="0" showInputMessage="0" showErrorMessage="0" sqref="H4:H93">
      <x:formula1>=Lists!$F$1:$F$7</x:formula1>
    </x:dataValidation>
    <x:dataValidation type="list" allowBlank="1" showDropDown="0" showInputMessage="0" showErrorMessage="0" sqref="I4:I93">
      <x:formula1>=Lists!$C$1:$C$5</x:formula1>
    </x:dataValidation>
    <x:dataValidation type="list" allowBlank="1" showDropDown="0" showInputMessage="0" showErrorMessage="0" sqref="J4:J93">
      <x:formula1>=Lists!$A$1:$A$6</x:formula1>
    </x:dataValidation>
    <x:dataValidation type="list" allowBlank="1" showDropDown="0" showInputMessage="0" showErrorMessage="0" sqref="K4:K93">
      <x:formula1>=Lists!$B$1:$B$5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7d5880c4074f4c"/>
  </x:tableParts>
</x:worksheet>
</file>

<file path=xl/worksheets/sheet5.xml><?xml version="1.0" encoding="utf-8"?>
<x:worksheet xmlns:x="http://schemas.openxmlformats.org/spreadsheetml/2006/main">
  <x:sheetPr>
    <x:tabColor rgb="00ED7D31"/>
  </x:sheetPr>
  <x:sheetViews>
    <x:sheetView showGridLines="0" workbookViewId="0"/>
  </x:sheetViews>
  <x:sheetFormatPr baseColWidth="8" defaultRowHeight="15"/>
  <x:cols>
    <x:col min="1" max="1" width="24" style="11" customWidth="1"/>
    <x:col min="2" max="2" width="34" style="11" customWidth="1"/>
    <x:col min="3" max="3" width="12" style="11" customWidth="1"/>
    <x:col min="4" max="4" width="12" style="11" customWidth="1"/>
    <x:col min="5" max="5" width="22" style="11" customWidth="1"/>
    <x:col min="6" max="6" width="14" style="11" customWidth="1"/>
    <x:col min="7" max="7" width="12" style="11" customWidth="1"/>
    <x:col min="8" max="8" width="12" style="11" customWidth="1"/>
    <x:col min="9" max="9" width="22" style="11" customWidth="1"/>
    <x:col min="10" max="10" width="22" style="11" customWidth="1"/>
    <x:col min="11" max="11" width="12" style="11" customWidth="1"/>
  </x:cols>
  <x:sheetData>
    <x:row r="1" s="11" customFormat="1" ht="24" customHeight="1">
      <x:c r="A1" s="12" t="inlineStr">
        <x:is>
          <x:t xml:space="preserve">Capstone &amp; Portfolio Tracker</x:t>
        </x:is>
      </x:c>
      <x:c r="B1" s="61" t="n"/>
      <x:c r="C1" s="61" t="n"/>
      <x:c r="D1" s="61" t="n"/>
      <x:c r="E1" s="61" t="n"/>
      <x:c r="F1" s="61" t="n"/>
      <x:c r="G1" s="61" t="n"/>
      <x:c r="H1" s="61" t="n"/>
      <x:c r="I1" s="61" t="n"/>
      <x:c r="J1" s="61" t="n"/>
      <x:c r="K1" s="62" t="n"/>
    </x:row>
    <x:row r="2" s="11" customFormat="1" ht="24" customHeight="1">
      <x:c r="A2" s="40" t="inlineStr">
        <x:is>
          <x:t xml:space="preserve">Track the architect-grade artifacts that make the 120-day plan interview ready.</x:t>
        </x:is>
      </x:c>
    </x:row>
    <x:row r="3" s="11" customFormat="1" ht="34" customHeight="1">
      <x:c r="A3" s="27" t="inlineStr">
        <x:is>
          <x:t xml:space="preserve">Artifact</x:t>
        </x:is>
      </x:c>
      <x:c r="B3" s="27" t="inlineStr">
        <x:is>
          <x:t xml:space="preserve">Description</x:t>
        </x:is>
      </x:c>
      <x:c r="C3" s="27" t="inlineStr">
        <x:is>
          <x:t xml:space="preserve">Target Day</x:t>
        </x:is>
      </x:c>
      <x:c r="D3" s="27" t="inlineStr">
        <x:is>
          <x:t xml:space="preserve">Target Week</x:t>
        </x:is>
      </x:c>
      <x:c r="E3" s="27" t="inlineStr">
        <x:is>
          <x:t xml:space="preserve">Dependency</x:t>
        </x:is>
      </x:c>
      <x:c r="F3" s="27" t="inlineStr">
        <x:is>
          <x:t xml:space="preserve">Status</x:t>
        </x:is>
      </x:c>
      <x:c r="G3" s="27" t="inlineStr">
        <x:is>
          <x:t xml:space="preserve">Quality Score</x:t>
        </x:is>
      </x:c>
      <x:c r="H3" s="27" t="inlineStr">
        <x:is>
          <x:t xml:space="preserve">Review Date</x:t>
        </x:is>
      </x:c>
      <x:c r="I3" s="27" t="inlineStr">
        <x:is>
          <x:t xml:space="preserve">Evidence / Link</x:t>
        </x:is>
      </x:c>
      <x:c r="J3" s="27" t="inlineStr">
        <x:is>
          <x:t xml:space="preserve">Reviewer Notes</x:t>
        </x:is>
      </x:c>
      <x:c r="K3" s="27" t="inlineStr">
        <x:is>
          <x:t xml:space="preserve">Completion %</x:t>
        </x:is>
      </x:c>
    </x:row>
    <x:row r="4" s="11" customFormat="1" ht="34" customHeight="1">
      <x:c r="A4" s="43" t="inlineStr">
        <x:is>
          <x:t xml:space="preserve">Problem statement &amp; NFRs</x:t>
        </x:is>
      </x:c>
      <x:c r="B4" s="43" t="inlineStr">
        <x:is>
          <x:t xml:space="preserve">Define users, scope, FRs, NFRs, success metrics</x:t>
        </x:is>
      </x:c>
      <x:c r="C4" s="41" t="n">
        <x:v>30</x:v>
      </x:c>
      <x:c r="D4" s="41" t="n">
        <x:v>5</x:v>
      </x:c>
      <x:c r="E4" s="43" t="inlineStr">
        <x:is>
          <x:t xml:space="preserve">Discovery + Overview</x:t>
        </x:is>
      </x:c>
      <x:c r="F4" s="44" t="inlineStr">
        <x:is>
          <x:t xml:space="preserve">Not Started</x:t>
        </x:is>
      </x:c>
      <x:c r="G4" s="44" t="n"/>
      <x:c r="H4" s="63" t="n"/>
      <x:c r="I4" s="48" t="n"/>
      <x:c r="J4" s="48" t="n"/>
      <x:c r="K4" s="73">
        <x:f>IF(F4="Done",1,IF(F4="Review",0.75,IF(F4="In Progress",0.5,0)))</x:f>
        <x:v>0</x:v>
      </x:c>
    </x:row>
    <x:row r="5" s="11" customFormat="1" ht="34" customHeight="1">
      <x:c r="A5" s="43" t="inlineStr">
        <x:is>
          <x:t xml:space="preserve">Context diagram</x:t>
        </x:is>
      </x:c>
      <x:c r="B5" s="43" t="inlineStr">
        <x:is>
          <x:t xml:space="preserve">System boundary and external actors</x:t>
        </x:is>
      </x:c>
      <x:c r="C5" s="41" t="n">
        <x:v>30</x:v>
      </x:c>
      <x:c r="D5" s="41" t="n">
        <x:v>5</x:v>
      </x:c>
      <x:c r="E5" s="43" t="inlineStr">
        <x:is>
          <x:t xml:space="preserve">Problem statement &amp; NFRs</x:t>
        </x:is>
      </x:c>
      <x:c r="F5" s="44" t="inlineStr">
        <x:is>
          <x:t xml:space="preserve">Not Started</x:t>
        </x:is>
      </x:c>
      <x:c r="G5" s="44" t="n"/>
      <x:c r="H5" s="63" t="n"/>
      <x:c r="I5" s="48" t="n"/>
      <x:c r="J5" s="48" t="n"/>
      <x:c r="K5" s="73">
        <x:f>IF(F5="Done",1,IF(F5="Review",0.75,IF(F5="In Progress",0.5,0)))</x:f>
        <x:v>0</x:v>
      </x:c>
    </x:row>
    <x:row r="6" s="11" customFormat="1" ht="34" customHeight="1">
      <x:c r="A6" s="43" t="inlineStr">
        <x:is>
          <x:t xml:space="preserve">High-level architecture</x:t>
        </x:is>
      </x:c>
      <x:c r="B6" s="43" t="inlineStr">
        <x:is>
          <x:t xml:space="preserve">Major services, data stores, and integrations</x:t>
        </x:is>
      </x:c>
      <x:c r="C6" s="41" t="n">
        <x:v>45</x:v>
      </x:c>
      <x:c r="D6" s="41" t="n">
        <x:v>7</x:v>
      </x:c>
      <x:c r="E6" s="43" t="inlineStr">
        <x:is>
          <x:t xml:space="preserve">Context diagram</x:t>
        </x:is>
      </x:c>
      <x:c r="F6" s="44" t="inlineStr">
        <x:is>
          <x:t xml:space="preserve">Not Started</x:t>
        </x:is>
      </x:c>
      <x:c r="G6" s="44" t="n"/>
      <x:c r="H6" s="63" t="n"/>
      <x:c r="I6" s="48" t="n"/>
      <x:c r="J6" s="48" t="n"/>
      <x:c r="K6" s="73">
        <x:f>IF(F6="Done",1,IF(F6="Review",0.75,IF(F6="In Progress",0.5,0)))</x:f>
        <x:v>0</x:v>
      </x:c>
    </x:row>
    <x:row r="7" s="11" customFormat="1" ht="34" customHeight="1">
      <x:c r="A7" s="43" t="inlineStr">
        <x:is>
          <x:t xml:space="preserve">API specification</x:t>
        </x:is>
      </x:c>
      <x:c r="B7" s="43" t="inlineStr">
        <x:is>
          <x:t xml:space="preserve">Core API contracts and error model</x:t>
        </x:is>
      </x:c>
      <x:c r="C7" s="41" t="n">
        <x:v>45</x:v>
      </x:c>
      <x:c r="D7" s="41" t="n">
        <x:v>7</x:v>
      </x:c>
      <x:c r="E7" s="43" t="inlineStr">
        <x:is>
          <x:t xml:space="preserve">High-level architecture</x:t>
        </x:is>
      </x:c>
      <x:c r="F7" s="44" t="inlineStr">
        <x:is>
          <x:t xml:space="preserve">Not Started</x:t>
        </x:is>
      </x:c>
      <x:c r="G7" s="44" t="n"/>
      <x:c r="H7" s="63" t="n"/>
      <x:c r="I7" s="48" t="n"/>
      <x:c r="J7" s="48" t="n"/>
      <x:c r="K7" s="73">
        <x:f>IF(F7="Done",1,IF(F7="Review",0.75,IF(F7="In Progress",0.5,0)))</x:f>
        <x:v>0</x:v>
      </x:c>
    </x:row>
    <x:row r="8" s="11" customFormat="1" ht="34" customHeight="1">
      <x:c r="A8" s="43" t="inlineStr">
        <x:is>
          <x:t xml:space="preserve">Data model</x:t>
        </x:is>
      </x:c>
      <x:c r="B8" s="43" t="inlineStr">
        <x:is>
          <x:t xml:space="preserve">Entities, indexes, and storage choices</x:t>
        </x:is>
      </x:c>
      <x:c r="C8" s="41" t="n">
        <x:v>45</x:v>
      </x:c>
      <x:c r="D8" s="41" t="n">
        <x:v>7</x:v>
      </x:c>
      <x:c r="E8" s="43" t="inlineStr">
        <x:is>
          <x:t xml:space="preserve">High-level architecture</x:t>
        </x:is>
      </x:c>
      <x:c r="F8" s="44" t="inlineStr">
        <x:is>
          <x:t xml:space="preserve">Not Started</x:t>
        </x:is>
      </x:c>
      <x:c r="G8" s="44" t="n"/>
      <x:c r="H8" s="63" t="n"/>
      <x:c r="I8" s="48" t="n"/>
      <x:c r="J8" s="48" t="n"/>
      <x:c r="K8" s="73">
        <x:f>IF(F8="Done",1,IF(F8="Review",0.75,IF(F8="In Progress",0.5,0)))</x:f>
        <x:v>0</x:v>
      </x:c>
    </x:row>
    <x:row r="9" s="11" customFormat="1" ht="34" customHeight="1">
      <x:c r="A9" s="43" t="inlineStr">
        <x:is>
          <x:t xml:space="preserve">Async/event flow</x:t>
        </x:is>
      </x:c>
      <x:c r="B9" s="43" t="inlineStr">
        <x:is>
          <x:t xml:space="preserve">Outbox/event path, retries, and DLQ choices</x:t>
        </x:is>
      </x:c>
      <x:c r="C9" s="41" t="n">
        <x:v>60</x:v>
      </x:c>
      <x:c r="D9" s="41" t="n">
        <x:v>9</x:v>
      </x:c>
      <x:c r="E9" s="43" t="inlineStr">
        <x:is>
          <x:t xml:space="preserve">High-level architecture</x:t>
        </x:is>
      </x:c>
      <x:c r="F9" s="44" t="inlineStr">
        <x:is>
          <x:t xml:space="preserve">Not Started</x:t>
        </x:is>
      </x:c>
      <x:c r="G9" s="44" t="n"/>
      <x:c r="H9" s="63" t="n"/>
      <x:c r="I9" s="48" t="n"/>
      <x:c r="J9" s="48" t="n"/>
      <x:c r="K9" s="73">
        <x:f>IF(F9="Done",1,IF(F9="Review",0.75,IF(F9="In Progress",0.5,0)))</x:f>
        <x:v>0</x:v>
      </x:c>
    </x:row>
    <x:row r="10" s="11" customFormat="1" ht="34" customHeight="1">
      <x:c r="A10" s="43" t="inlineStr">
        <x:is>
          <x:t xml:space="preserve">Deployment diagram</x:t>
        </x:is>
      </x:c>
      <x:c r="B10" s="43" t="inlineStr">
        <x:is>
          <x:t xml:space="preserve">AWS deployment shape, networking, IAM, and runtime</x:t>
        </x:is>
      </x:c>
      <x:c r="C10" s="41" t="n">
        <x:v>60</x:v>
      </x:c>
      <x:c r="D10" s="41" t="n">
        <x:v>9</x:v>
      </x:c>
      <x:c r="E10" s="43" t="inlineStr">
        <x:is>
          <x:t xml:space="preserve">High-level architecture</x:t>
        </x:is>
      </x:c>
      <x:c r="F10" s="44" t="inlineStr">
        <x:is>
          <x:t xml:space="preserve">Not Started</x:t>
        </x:is>
      </x:c>
      <x:c r="G10" s="44" t="n"/>
      <x:c r="H10" s="63" t="n"/>
      <x:c r="I10" s="48" t="n"/>
      <x:c r="J10" s="48" t="n"/>
      <x:c r="K10" s="73">
        <x:f>IF(F10="Done",1,IF(F10="Review",0.75,IF(F10="In Progress",0.5,0)))</x:f>
        <x:v>0</x:v>
      </x:c>
    </x:row>
    <x:row r="11" s="11" customFormat="1" ht="34" customHeight="1">
      <x:c r="A11" s="43" t="inlineStr">
        <x:is>
          <x:t xml:space="preserve">Security baseline</x:t>
        </x:is>
      </x:c>
      <x:c r="B11" s="43" t="inlineStr">
        <x:is>
          <x:t xml:space="preserve">AuthN/AuthZ, secrets, encryption, audit logging</x:t>
        </x:is>
      </x:c>
      <x:c r="C11" s="41" t="n">
        <x:v>75</x:v>
      </x:c>
      <x:c r="D11" s="41" t="n">
        <x:v>11</x:v>
      </x:c>
      <x:c r="E11" s="43" t="inlineStr">
        <x:is>
          <x:t xml:space="preserve">Deployment diagram</x:t>
        </x:is>
      </x:c>
      <x:c r="F11" s="44" t="inlineStr">
        <x:is>
          <x:t xml:space="preserve">Not Started</x:t>
        </x:is>
      </x:c>
      <x:c r="G11" s="44" t="n"/>
      <x:c r="H11" s="63" t="n"/>
      <x:c r="I11" s="48" t="n"/>
      <x:c r="J11" s="48" t="n"/>
      <x:c r="K11" s="73">
        <x:f>IF(F11="Done",1,IF(F11="Review",0.75,IF(F11="In Progress",0.5,0)))</x:f>
        <x:v>0</x:v>
      </x:c>
    </x:row>
    <x:row r="12" s="11" customFormat="1" ht="34" customHeight="1">
      <x:c r="A12" s="43" t="inlineStr">
        <x:is>
          <x:t xml:space="preserve">Observability plan</x:t>
        </x:is>
      </x:c>
      <x:c r="B12" s="43" t="inlineStr">
        <x:is>
          <x:t xml:space="preserve">Logs, metrics, traces, alarms, SLIs/SLOs</x:t>
        </x:is>
      </x:c>
      <x:c r="C12" s="41" t="n">
        <x:v>75</x:v>
      </x:c>
      <x:c r="D12" s="41" t="n">
        <x:v>11</x:v>
      </x:c>
      <x:c r="E12" s="43" t="inlineStr">
        <x:is>
          <x:t xml:space="preserve">Deployment diagram</x:t>
        </x:is>
      </x:c>
      <x:c r="F12" s="44" t="inlineStr">
        <x:is>
          <x:t xml:space="preserve">Not Started</x:t>
        </x:is>
      </x:c>
      <x:c r="G12" s="44" t="n"/>
      <x:c r="H12" s="63" t="n"/>
      <x:c r="I12" s="48" t="n"/>
      <x:c r="J12" s="48" t="n"/>
      <x:c r="K12" s="73">
        <x:f>IF(F12="Done",1,IF(F12="Review",0.75,IF(F12="In Progress",0.5,0)))</x:f>
        <x:v>0</x:v>
      </x:c>
    </x:row>
    <x:row r="13" s="11" customFormat="1" ht="34" customHeight="1">
      <x:c r="A13" s="43" t="inlineStr">
        <x:is>
          <x:t xml:space="preserve">ADR set (5 decisions)</x:t>
        </x:is>
      </x:c>
      <x:c r="B13" s="43" t="inlineStr">
        <x:is>
          <x:t xml:space="preserve">Document major trade-offs and rejected options</x:t>
        </x:is>
      </x:c>
      <x:c r="C13" s="41" t="n">
        <x:v>90</x:v>
      </x:c>
      <x:c r="D13" s="41" t="n">
        <x:v>13</x:v>
      </x:c>
      <x:c r="E13" s="43" t="inlineStr">
        <x:is>
          <x:t xml:space="preserve">High-level architecture</x:t>
        </x:is>
      </x:c>
      <x:c r="F13" s="44" t="inlineStr">
        <x:is>
          <x:t xml:space="preserve">Not Started</x:t>
        </x:is>
      </x:c>
      <x:c r="G13" s="44" t="n"/>
      <x:c r="H13" s="63" t="n"/>
      <x:c r="I13" s="48" t="n"/>
      <x:c r="J13" s="48" t="n"/>
      <x:c r="K13" s="73">
        <x:f>IF(F13="Done",1,IF(F13="Review",0.75,IF(F13="In Progress",0.5,0)))</x:f>
        <x:v>0</x:v>
      </x:c>
    </x:row>
    <x:row r="14" s="11" customFormat="1" ht="34" customHeight="1">
      <x:c r="A14" s="43" t="inlineStr">
        <x:is>
          <x:t xml:space="preserve">Runbook</x:t>
        </x:is>
      </x:c>
      <x:c r="B14" s="43" t="inlineStr">
        <x:is>
          <x:t xml:space="preserve">Failure response, restart, smoke tests, rollback steps</x:t>
        </x:is>
      </x:c>
      <x:c r="C14" s="41" t="n">
        <x:v>90</x:v>
      </x:c>
      <x:c r="D14" s="41" t="n">
        <x:v>13</x:v>
      </x:c>
      <x:c r="E14" s="43" t="inlineStr">
        <x:is>
          <x:t xml:space="preserve">Observability plan</x:t>
        </x:is>
      </x:c>
      <x:c r="F14" s="44" t="inlineStr">
        <x:is>
          <x:t xml:space="preserve">Not Started</x:t>
        </x:is>
      </x:c>
      <x:c r="G14" s="44" t="n"/>
      <x:c r="H14" s="63" t="n"/>
      <x:c r="I14" s="48" t="n"/>
      <x:c r="J14" s="48" t="n"/>
      <x:c r="K14" s="73">
        <x:f>IF(F14="Done",1,IF(F14="Review",0.75,IF(F14="In Progress",0.5,0)))</x:f>
        <x:v>0</x:v>
      </x:c>
    </x:row>
    <x:row r="15" s="11" customFormat="1" ht="34" customHeight="1">
      <x:c r="A15" s="43" t="inlineStr">
        <x:is>
          <x:t xml:space="preserve">Cost estimate</x:t>
        </x:is>
      </x:c>
      <x:c r="B15" s="43" t="inlineStr">
        <x:is>
          <x:t xml:space="preserve">Service choices, scaling assumptions, cost levers</x:t>
        </x:is>
      </x:c>
      <x:c r="C15" s="41" t="n">
        <x:v>105</x:v>
      </x:c>
      <x:c r="D15" s="41" t="n">
        <x:v>15</x:v>
      </x:c>
      <x:c r="E15" s="43" t="inlineStr">
        <x:is>
          <x:t xml:space="preserve">Deployment diagram</x:t>
        </x:is>
      </x:c>
      <x:c r="F15" s="44" t="inlineStr">
        <x:is>
          <x:t xml:space="preserve">Not Started</x:t>
        </x:is>
      </x:c>
      <x:c r="G15" s="44" t="n"/>
      <x:c r="H15" s="63" t="n"/>
      <x:c r="I15" s="48" t="n"/>
      <x:c r="J15" s="48" t="n"/>
      <x:c r="K15" s="73">
        <x:f>IF(F15="Done",1,IF(F15="Review",0.75,IF(F15="In Progress",0.5,0)))</x:f>
        <x:v>0</x:v>
      </x:c>
    </x:row>
    <x:row r="16" s="11" customFormat="1" ht="34" customHeight="1">
      <x:c r="A16" s="43" t="inlineStr">
        <x:is>
          <x:t xml:space="preserve">HA / DR plan</x:t>
        </x:is>
      </x:c>
      <x:c r="B16" s="43" t="inlineStr">
        <x:is>
          <x:t xml:space="preserve">RTO/RPO, failover posture, backups, recovery steps</x:t>
        </x:is>
      </x:c>
      <x:c r="C16" s="41" t="n">
        <x:v>105</x:v>
      </x:c>
      <x:c r="D16" s="41" t="n">
        <x:v>15</x:v>
      </x:c>
      <x:c r="E16" s="43" t="inlineStr">
        <x:is>
          <x:t xml:space="preserve">Runbook</x:t>
        </x:is>
      </x:c>
      <x:c r="F16" s="44" t="inlineStr">
        <x:is>
          <x:t xml:space="preserve">Not Started</x:t>
        </x:is>
      </x:c>
      <x:c r="G16" s="44" t="n"/>
      <x:c r="H16" s="63" t="n"/>
      <x:c r="I16" s="48" t="n"/>
      <x:c r="J16" s="48" t="n"/>
      <x:c r="K16" s="73">
        <x:f>IF(F16="Done",1,IF(F16="Review",0.75,IF(F16="In Progress",0.5,0)))</x:f>
        <x:v>0</x:v>
      </x:c>
    </x:row>
    <x:row r="17" s="11" customFormat="1" ht="34" customHeight="1">
      <x:c r="A17" s="43" t="inlineStr">
        <x:is>
          <x:t xml:space="preserve">Presentation deck</x:t>
        </x:is>
      </x:c>
      <x:c r="B17" s="43" t="inlineStr">
        <x:is>
          <x:t xml:space="preserve">10-15 minute architect walkthrough</x:t>
        </x:is>
      </x:c>
      <x:c r="C17" s="41" t="n">
        <x:v>120</x:v>
      </x:c>
      <x:c r="D17" s="41" t="n">
        <x:v>18</x:v>
      </x:c>
      <x:c r="E17" s="43" t="inlineStr">
        <x:is>
          <x:t xml:space="preserve">All previous artifacts</x:t>
        </x:is>
      </x:c>
      <x:c r="F17" s="44" t="inlineStr">
        <x:is>
          <x:t xml:space="preserve">Not Started</x:t>
        </x:is>
      </x:c>
      <x:c r="G17" s="44" t="n"/>
      <x:c r="H17" s="63" t="n"/>
      <x:c r="I17" s="48" t="n"/>
      <x:c r="J17" s="48" t="n"/>
      <x:c r="K17" s="73">
        <x:f>IF(F17="Done",1,IF(F17="Review",0.75,IF(F17="In Progress",0.5,0)))</x:f>
        <x:v>0</x:v>
      </x:c>
    </x:row>
    <x:row r="18" s="11" customFormat="1" ht="34" customHeight="1">
      <x:c r="A18" s="43" t="inlineStr">
        <x:is>
          <x:t xml:space="preserve">Mock design Q&amp;A</x:t>
        </x:is>
      </x:c>
      <x:c r="B18" s="43" t="inlineStr">
        <x:is>
          <x:t xml:space="preserve">Practice stakeholder defense and trade-offs</x:t>
        </x:is>
      </x:c>
      <x:c r="C18" s="41" t="n">
        <x:v>120</x:v>
      </x:c>
      <x:c r="D18" s="41" t="n">
        <x:v>18</x:v>
      </x:c>
      <x:c r="E18" s="43" t="inlineStr">
        <x:is>
          <x:t xml:space="preserve">Presentation deck</x:t>
        </x:is>
      </x:c>
      <x:c r="F18" s="44" t="inlineStr">
        <x:is>
          <x:t xml:space="preserve">Not Started</x:t>
        </x:is>
      </x:c>
      <x:c r="G18" s="44" t="n"/>
      <x:c r="H18" s="63" t="n"/>
      <x:c r="I18" s="48" t="n"/>
      <x:c r="J18" s="48" t="n"/>
      <x:c r="K18" s="73">
        <x:f>IF(F18="Done",1,IF(F18="Review",0.75,IF(F18="In Progress",0.5,0)))</x:f>
        <x:v>0</x:v>
      </x:c>
    </x:row>
    <x:row r="19" s="11" customFormat="1" ht="34" customHeight="1">
      <x:c r="A19" s="43" t="inlineStr">
        <x:is>
          <x:t xml:space="preserve">Resume / portfolio bullets</x:t>
        </x:is>
      </x:c>
      <x:c r="B19" s="43" t="inlineStr">
        <x:is>
          <x:t xml:space="preserve">Turn the work into interview language</x:t>
        </x:is>
      </x:c>
      <x:c r="C19" s="41" t="n">
        <x:v>120</x:v>
      </x:c>
      <x:c r="D19" s="41" t="n">
        <x:v>18</x:v>
      </x:c>
      <x:c r="E19" s="43" t="inlineStr">
        <x:is>
          <x:t xml:space="preserve">Presentation deck</x:t>
        </x:is>
      </x:c>
      <x:c r="F19" s="44" t="inlineStr">
        <x:is>
          <x:t xml:space="preserve">Not Started</x:t>
        </x:is>
      </x:c>
      <x:c r="G19" s="44" t="n"/>
      <x:c r="H19" s="63" t="n"/>
      <x:c r="I19" s="48" t="n"/>
      <x:c r="J19" s="48" t="n"/>
      <x:c r="K19" s="73">
        <x:f>IF(F19="Done",1,IF(F19="Review",0.75,IF(F19="In Progress",0.5,0)))</x:f>
        <x:v>0</x:v>
      </x:c>
    </x:row>
    <x:row r="20" s="11" customFormat="1" ht="34" customHeight="1"/>
  </x:sheetData>
  <x:mergeCells>
    <x:mergeCell ref="A2:K2"/>
    <x:mergeCell ref="A1:K1"/>
  </x:mergeCells>
  <x:conditionalFormatting sqref="F4:F19">
    <x:cfRule type="expression" dxfId="0" priority="1">
      <x:formula>$F4="Done"</x:formula>
    </x:cfRule>
  </x:conditionalFormatting>
  <x:conditionalFormatting sqref="K4:K19">
    <x:cfRule type="dataBar" priority="2">
      <x:dataBar>
        <x:cfvo type="num" val="0"/>
        <x:cfvo type="num" val="1"/>
        <x:color rgb="005B9BD5"/>
      </x:dataBar>
    </x:cfRule>
  </x:conditionalFormatting>
  <x:dataValidations count="2">
    <x:dataValidation type="list" allowBlank="1" showDropDown="0" showInputMessage="0" showErrorMessage="0" sqref="F4:F19">
      <x:formula1>=Lists!$A$1:$A$6</x:formula1>
    </x:dataValidation>
    <x:dataValidation type="list" allowBlank="1" showDropDown="0" showInputMessage="0" showErrorMessage="0" sqref="G4:G19">
      <x:formula1>=Lists!$B$1:$B$5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0be94ee2194611"/>
  </x:tableParts>
</x:worksheet>
</file>

<file path=xl/worksheets/sheet6.xml><?xml version="1.0" encoding="utf-8"?>
<x:worksheet xmlns:x="http://schemas.openxmlformats.org/spreadsheetml/2006/main">
  <x:sheetPr>
    <x:tabColor rgb="007F7F7F"/>
  </x:sheetPr>
  <x:sheetViews>
    <x:sheetView showGridLines="0" workbookViewId="0"/>
  </x:sheetViews>
  <x:sheetFormatPr baseColWidth="8" defaultRowHeight="15"/>
  <x:cols>
    <x:col min="1" max="1" width="18" style="11" customWidth="1"/>
    <x:col min="2" max="2" width="10" style="11" customWidth="1"/>
    <x:col min="3" max="3" width="10" style="11" customWidth="1"/>
    <x:col min="4" max="4" width="10" style="11" customWidth="1"/>
    <x:col min="5" max="5" width="10" style="11" customWidth="1"/>
    <x:col min="6" max="6" width="10" style="11" customWidth="1"/>
    <x:col min="7" max="7" width="10" style="11" customWidth="1"/>
    <x:col min="8" max="8" width="12" style="11" customWidth="1"/>
    <x:col min="9" max="9" width="16" style="11" customWidth="1"/>
  </x:cols>
  <x:sheetData>
    <x:row r="1" s="11" customFormat="1" ht="24" customHeight="1">
      <x:c r="A1" s="12" t="inlineStr">
        <x:is>
          <x:t xml:space="preserve">Pivot-Style Summary View</x:t>
        </x:is>
      </x:c>
      <x:c r="B1" s="61" t="n"/>
      <x:c r="C1" s="61" t="n"/>
      <x:c r="D1" s="61" t="n"/>
      <x:c r="E1" s="61" t="n"/>
      <x:c r="F1" s="61" t="n"/>
      <x:c r="G1" s="61" t="n"/>
      <x:c r="H1" s="61" t="n"/>
      <x:c r="I1" s="62" t="n"/>
    </x:row>
    <x:row r="2" s="11" customFormat="1" ht="24" customHeight="1">
      <x:c r="A2" s="40" t="inlineStr">
        <x:is>
          <x:t xml:space="preserve">Formula-based pivot summaries for quick filtering and heat-map review.</x:t>
        </x:is>
      </x:c>
    </x:row>
    <x:row r="3" s="11" customFormat="1" ht="24" customHeight="1"/>
    <x:row r="4" s="11" customFormat="1" ht="24" customHeight="1">
      <x:c r="A4" s="15" t="inlineStr">
        <x:is>
          <x:t xml:space="preserve">Daily Tracker Status by Week</x:t>
        </x:is>
      </x:c>
      <x:c r="B4" s="61" t="n"/>
      <x:c r="C4" s="61" t="n"/>
      <x:c r="D4" s="61" t="n"/>
      <x:c r="E4" s="61" t="n"/>
      <x:c r="F4" s="61" t="n"/>
      <x:c r="G4" s="61" t="n"/>
      <x:c r="H4" s="62" t="n"/>
    </x:row>
    <x:row r="5" s="11" customFormat="1" ht="30" customHeight="1">
      <x:c r="A5" s="27" t="inlineStr">
        <x:is>
          <x:t xml:space="preserve">Week</x:t>
        </x:is>
      </x:c>
      <x:c r="B5" s="27" t="inlineStr">
        <x:is>
          <x:t xml:space="preserve">Not Started</x:t>
        </x:is>
      </x:c>
      <x:c r="C5" s="27" t="inlineStr">
        <x:is>
          <x:t xml:space="preserve">In Progress</x:t>
        </x:is>
      </x:c>
      <x:c r="D5" s="27" t="inlineStr">
        <x:is>
          <x:t xml:space="preserve">Review</x:t>
        </x:is>
      </x:c>
      <x:c r="E5" s="27" t="inlineStr">
        <x:is>
          <x:t xml:space="preserve">Done</x:t>
        </x:is>
      </x:c>
      <x:c r="F5" s="27" t="inlineStr">
        <x:is>
          <x:t xml:space="preserve">Blocked</x:t>
        </x:is>
      </x:c>
      <x:c r="G5" s="27" t="inlineStr">
        <x:is>
          <x:t xml:space="preserve">Skipped</x:t>
        </x:is>
      </x:c>
      <x:c r="H5" s="27" t="inlineStr">
        <x:is>
          <x:t xml:space="preserve">Completion %</x:t>
        </x:is>
      </x:c>
    </x:row>
    <x:row r="6" s="11" customFormat="1" ht="30" customHeight="1">
      <x:c r="A6" s="28" t="n">
        <x:v>1</x:v>
      </x:c>
      <x:c r="B6" s="29">
        <x:f>COUNTIFS('120-Day Tracker'!$B$4:$B$123,$A6,'120-Day Tracker'!$N$4:$N$123,B$5)</x:f>
        <x:v>7</x:v>
      </x:c>
      <x:c r="C6" s="29">
        <x:f>COUNTIFS('120-Day Tracker'!$B$4:$B$123,$A6,'120-Day Tracker'!$N$4:$N$123,C$5)</x:f>
        <x:v>0</x:v>
      </x:c>
      <x:c r="D6" s="29">
        <x:f>COUNTIFS('120-Day Tracker'!$B$4:$B$123,$A6,'120-Day Tracker'!$N$4:$N$123,D$5)</x:f>
        <x:v>0</x:v>
      </x:c>
      <x:c r="E6" s="29">
        <x:f>COUNTIFS('120-Day Tracker'!$B$4:$B$123,$A6,'120-Day Tracker'!$N$4:$N$123,E$5)</x:f>
        <x:v>0</x:v>
      </x:c>
      <x:c r="F6" s="29">
        <x:f>COUNTIFS('120-Day Tracker'!$B$4:$B$123,$A6,'120-Day Tracker'!$N$4:$N$123,F$5)</x:f>
        <x:v>0</x:v>
      </x:c>
      <x:c r="G6" s="29">
        <x:f>COUNTIFS('120-Day Tracker'!$B$4:$B$123,$A6,'120-Day Tracker'!$N$4:$N$123,G$5)</x:f>
        <x:v>0</x:v>
      </x:c>
      <x:c r="H6" s="70">
        <x:f>IF(SUM(B6:G6)=0,0,E6/SUM(B6:G6))</x:f>
        <x:v>0</x:v>
      </x:c>
    </x:row>
    <x:row r="7" s="11" customFormat="1" ht="30" customHeight="1">
      <x:c r="A7" s="28" t="n">
        <x:v>2</x:v>
      </x:c>
      <x:c r="B7" s="29">
        <x:f>COUNTIFS('120-Day Tracker'!$B$4:$B$123,$A7,'120-Day Tracker'!$N$4:$N$123,B$5)</x:f>
        <x:v>7</x:v>
      </x:c>
      <x:c r="C7" s="29">
        <x:f>COUNTIFS('120-Day Tracker'!$B$4:$B$123,$A7,'120-Day Tracker'!$N$4:$N$123,C$5)</x:f>
        <x:v>0</x:v>
      </x:c>
      <x:c r="D7" s="29">
        <x:f>COUNTIFS('120-Day Tracker'!$B$4:$B$123,$A7,'120-Day Tracker'!$N$4:$N$123,D$5)</x:f>
        <x:v>0</x:v>
      </x:c>
      <x:c r="E7" s="29">
        <x:f>COUNTIFS('120-Day Tracker'!$B$4:$B$123,$A7,'120-Day Tracker'!$N$4:$N$123,E$5)</x:f>
        <x:v>0</x:v>
      </x:c>
      <x:c r="F7" s="29">
        <x:f>COUNTIFS('120-Day Tracker'!$B$4:$B$123,$A7,'120-Day Tracker'!$N$4:$N$123,F$5)</x:f>
        <x:v>0</x:v>
      </x:c>
      <x:c r="G7" s="29">
        <x:f>COUNTIFS('120-Day Tracker'!$B$4:$B$123,$A7,'120-Day Tracker'!$N$4:$N$123,G$5)</x:f>
        <x:v>0</x:v>
      </x:c>
      <x:c r="H7" s="70">
        <x:f>IF(SUM(B7:G7)=0,0,E7/SUM(B7:G7))</x:f>
        <x:v>0</x:v>
      </x:c>
    </x:row>
    <x:row r="8" s="11" customFormat="1" ht="30" customHeight="1">
      <x:c r="A8" s="28" t="n">
        <x:v>3</x:v>
      </x:c>
      <x:c r="B8" s="29">
        <x:f>COUNTIFS('120-Day Tracker'!$B$4:$B$123,$A8,'120-Day Tracker'!$N$4:$N$123,B$5)</x:f>
        <x:v>7</x:v>
      </x:c>
      <x:c r="C8" s="29">
        <x:f>COUNTIFS('120-Day Tracker'!$B$4:$B$123,$A8,'120-Day Tracker'!$N$4:$N$123,C$5)</x:f>
        <x:v>0</x:v>
      </x:c>
      <x:c r="D8" s="29">
        <x:f>COUNTIFS('120-Day Tracker'!$B$4:$B$123,$A8,'120-Day Tracker'!$N$4:$N$123,D$5)</x:f>
        <x:v>0</x:v>
      </x:c>
      <x:c r="E8" s="29">
        <x:f>COUNTIFS('120-Day Tracker'!$B$4:$B$123,$A8,'120-Day Tracker'!$N$4:$N$123,E$5)</x:f>
        <x:v>0</x:v>
      </x:c>
      <x:c r="F8" s="29">
        <x:f>COUNTIFS('120-Day Tracker'!$B$4:$B$123,$A8,'120-Day Tracker'!$N$4:$N$123,F$5)</x:f>
        <x:v>0</x:v>
      </x:c>
      <x:c r="G8" s="29">
        <x:f>COUNTIFS('120-Day Tracker'!$B$4:$B$123,$A8,'120-Day Tracker'!$N$4:$N$123,G$5)</x:f>
        <x:v>0</x:v>
      </x:c>
      <x:c r="H8" s="70">
        <x:f>IF(SUM(B8:G8)=0,0,E8/SUM(B8:G8))</x:f>
        <x:v>0</x:v>
      </x:c>
    </x:row>
    <x:row r="9" s="11" customFormat="1" ht="30" customHeight="1">
      <x:c r="A9" s="28" t="n">
        <x:v>4</x:v>
      </x:c>
      <x:c r="B9" s="29">
        <x:f>COUNTIFS('120-Day Tracker'!$B$4:$B$123,$A9,'120-Day Tracker'!$N$4:$N$123,B$5)</x:f>
        <x:v>7</x:v>
      </x:c>
      <x:c r="C9" s="29">
        <x:f>COUNTIFS('120-Day Tracker'!$B$4:$B$123,$A9,'120-Day Tracker'!$N$4:$N$123,C$5)</x:f>
        <x:v>0</x:v>
      </x:c>
      <x:c r="D9" s="29">
        <x:f>COUNTIFS('120-Day Tracker'!$B$4:$B$123,$A9,'120-Day Tracker'!$N$4:$N$123,D$5)</x:f>
        <x:v>0</x:v>
      </x:c>
      <x:c r="E9" s="29">
        <x:f>COUNTIFS('120-Day Tracker'!$B$4:$B$123,$A9,'120-Day Tracker'!$N$4:$N$123,E$5)</x:f>
        <x:v>0</x:v>
      </x:c>
      <x:c r="F9" s="29">
        <x:f>COUNTIFS('120-Day Tracker'!$B$4:$B$123,$A9,'120-Day Tracker'!$N$4:$N$123,F$5)</x:f>
        <x:v>0</x:v>
      </x:c>
      <x:c r="G9" s="29">
        <x:f>COUNTIFS('120-Day Tracker'!$B$4:$B$123,$A9,'120-Day Tracker'!$N$4:$N$123,G$5)</x:f>
        <x:v>0</x:v>
      </x:c>
      <x:c r="H9" s="70">
        <x:f>IF(SUM(B9:G9)=0,0,E9/SUM(B9:G9))</x:f>
        <x:v>0</x:v>
      </x:c>
    </x:row>
    <x:row r="10" s="11" customFormat="1" ht="30" customHeight="1">
      <x:c r="A10" s="28" t="n">
        <x:v>5</x:v>
      </x:c>
      <x:c r="B10" s="29">
        <x:f>COUNTIFS('120-Day Tracker'!$B$4:$B$123,$A10,'120-Day Tracker'!$N$4:$N$123,B$5)</x:f>
        <x:v>7</x:v>
      </x:c>
      <x:c r="C10" s="29">
        <x:f>COUNTIFS('120-Day Tracker'!$B$4:$B$123,$A10,'120-Day Tracker'!$N$4:$N$123,C$5)</x:f>
        <x:v>0</x:v>
      </x:c>
      <x:c r="D10" s="29">
        <x:f>COUNTIFS('120-Day Tracker'!$B$4:$B$123,$A10,'120-Day Tracker'!$N$4:$N$123,D$5)</x:f>
        <x:v>0</x:v>
      </x:c>
      <x:c r="E10" s="29">
        <x:f>COUNTIFS('120-Day Tracker'!$B$4:$B$123,$A10,'120-Day Tracker'!$N$4:$N$123,E$5)</x:f>
        <x:v>0</x:v>
      </x:c>
      <x:c r="F10" s="29">
        <x:f>COUNTIFS('120-Day Tracker'!$B$4:$B$123,$A10,'120-Day Tracker'!$N$4:$N$123,F$5)</x:f>
        <x:v>0</x:v>
      </x:c>
      <x:c r="G10" s="29">
        <x:f>COUNTIFS('120-Day Tracker'!$B$4:$B$123,$A10,'120-Day Tracker'!$N$4:$N$123,G$5)</x:f>
        <x:v>0</x:v>
      </x:c>
      <x:c r="H10" s="70">
        <x:f>IF(SUM(B10:G10)=0,0,E10/SUM(B10:G10))</x:f>
        <x:v>0</x:v>
      </x:c>
    </x:row>
    <x:row r="11" s="11" customFormat="1" ht="30" customHeight="1">
      <x:c r="A11" s="28" t="n">
        <x:v>6</x:v>
      </x:c>
      <x:c r="B11" s="29">
        <x:f>COUNTIFS('120-Day Tracker'!$B$4:$B$123,$A11,'120-Day Tracker'!$N$4:$N$123,B$5)</x:f>
        <x:v>7</x:v>
      </x:c>
      <x:c r="C11" s="29">
        <x:f>COUNTIFS('120-Day Tracker'!$B$4:$B$123,$A11,'120-Day Tracker'!$N$4:$N$123,C$5)</x:f>
        <x:v>0</x:v>
      </x:c>
      <x:c r="D11" s="29">
        <x:f>COUNTIFS('120-Day Tracker'!$B$4:$B$123,$A11,'120-Day Tracker'!$N$4:$N$123,D$5)</x:f>
        <x:v>0</x:v>
      </x:c>
      <x:c r="E11" s="29">
        <x:f>COUNTIFS('120-Day Tracker'!$B$4:$B$123,$A11,'120-Day Tracker'!$N$4:$N$123,E$5)</x:f>
        <x:v>0</x:v>
      </x:c>
      <x:c r="F11" s="29">
        <x:f>COUNTIFS('120-Day Tracker'!$B$4:$B$123,$A11,'120-Day Tracker'!$N$4:$N$123,F$5)</x:f>
        <x:v>0</x:v>
      </x:c>
      <x:c r="G11" s="29">
        <x:f>COUNTIFS('120-Day Tracker'!$B$4:$B$123,$A11,'120-Day Tracker'!$N$4:$N$123,G$5)</x:f>
        <x:v>0</x:v>
      </x:c>
      <x:c r="H11" s="70">
        <x:f>IF(SUM(B11:G11)=0,0,E11/SUM(B11:G11))</x:f>
        <x:v>0</x:v>
      </x:c>
    </x:row>
    <x:row r="12" s="11" customFormat="1" ht="30" customHeight="1">
      <x:c r="A12" s="28" t="n">
        <x:v>7</x:v>
      </x:c>
      <x:c r="B12" s="29">
        <x:f>COUNTIFS('120-Day Tracker'!$B$4:$B$123,$A12,'120-Day Tracker'!$N$4:$N$123,B$5)</x:f>
        <x:v>7</x:v>
      </x:c>
      <x:c r="C12" s="29">
        <x:f>COUNTIFS('120-Day Tracker'!$B$4:$B$123,$A12,'120-Day Tracker'!$N$4:$N$123,C$5)</x:f>
        <x:v>0</x:v>
      </x:c>
      <x:c r="D12" s="29">
        <x:f>COUNTIFS('120-Day Tracker'!$B$4:$B$123,$A12,'120-Day Tracker'!$N$4:$N$123,D$5)</x:f>
        <x:v>0</x:v>
      </x:c>
      <x:c r="E12" s="29">
        <x:f>COUNTIFS('120-Day Tracker'!$B$4:$B$123,$A12,'120-Day Tracker'!$N$4:$N$123,E$5)</x:f>
        <x:v>0</x:v>
      </x:c>
      <x:c r="F12" s="29">
        <x:f>COUNTIFS('120-Day Tracker'!$B$4:$B$123,$A12,'120-Day Tracker'!$N$4:$N$123,F$5)</x:f>
        <x:v>0</x:v>
      </x:c>
      <x:c r="G12" s="29">
        <x:f>COUNTIFS('120-Day Tracker'!$B$4:$B$123,$A12,'120-Day Tracker'!$N$4:$N$123,G$5)</x:f>
        <x:v>0</x:v>
      </x:c>
      <x:c r="H12" s="70">
        <x:f>IF(SUM(B12:G12)=0,0,E12/SUM(B12:G12))</x:f>
        <x:v>0</x:v>
      </x:c>
    </x:row>
    <x:row r="13" s="11" customFormat="1" ht="30" customHeight="1">
      <x:c r="A13" s="28" t="n">
        <x:v>8</x:v>
      </x:c>
      <x:c r="B13" s="29">
        <x:f>COUNTIFS('120-Day Tracker'!$B$4:$B$123,$A13,'120-Day Tracker'!$N$4:$N$123,B$5)</x:f>
        <x:v>7</x:v>
      </x:c>
      <x:c r="C13" s="29">
        <x:f>COUNTIFS('120-Day Tracker'!$B$4:$B$123,$A13,'120-Day Tracker'!$N$4:$N$123,C$5)</x:f>
        <x:v>0</x:v>
      </x:c>
      <x:c r="D13" s="29">
        <x:f>COUNTIFS('120-Day Tracker'!$B$4:$B$123,$A13,'120-Day Tracker'!$N$4:$N$123,D$5)</x:f>
        <x:v>0</x:v>
      </x:c>
      <x:c r="E13" s="29">
        <x:f>COUNTIFS('120-Day Tracker'!$B$4:$B$123,$A13,'120-Day Tracker'!$N$4:$N$123,E$5)</x:f>
        <x:v>0</x:v>
      </x:c>
      <x:c r="F13" s="29">
        <x:f>COUNTIFS('120-Day Tracker'!$B$4:$B$123,$A13,'120-Day Tracker'!$N$4:$N$123,F$5)</x:f>
        <x:v>0</x:v>
      </x:c>
      <x:c r="G13" s="29">
        <x:f>COUNTIFS('120-Day Tracker'!$B$4:$B$123,$A13,'120-Day Tracker'!$N$4:$N$123,G$5)</x:f>
        <x:v>0</x:v>
      </x:c>
      <x:c r="H13" s="70">
        <x:f>IF(SUM(B13:G13)=0,0,E13/SUM(B13:G13))</x:f>
        <x:v>0</x:v>
      </x:c>
    </x:row>
    <x:row r="14" s="11" customFormat="1" ht="30" customHeight="1">
      <x:c r="A14" s="28" t="n">
        <x:v>9</x:v>
      </x:c>
      <x:c r="B14" s="29">
        <x:f>COUNTIFS('120-Day Tracker'!$B$4:$B$123,$A14,'120-Day Tracker'!$N$4:$N$123,B$5)</x:f>
        <x:v>7</x:v>
      </x:c>
      <x:c r="C14" s="29">
        <x:f>COUNTIFS('120-Day Tracker'!$B$4:$B$123,$A14,'120-Day Tracker'!$N$4:$N$123,C$5)</x:f>
        <x:v>0</x:v>
      </x:c>
      <x:c r="D14" s="29">
        <x:f>COUNTIFS('120-Day Tracker'!$B$4:$B$123,$A14,'120-Day Tracker'!$N$4:$N$123,D$5)</x:f>
        <x:v>0</x:v>
      </x:c>
      <x:c r="E14" s="29">
        <x:f>COUNTIFS('120-Day Tracker'!$B$4:$B$123,$A14,'120-Day Tracker'!$N$4:$N$123,E$5)</x:f>
        <x:v>0</x:v>
      </x:c>
      <x:c r="F14" s="29">
        <x:f>COUNTIFS('120-Day Tracker'!$B$4:$B$123,$A14,'120-Day Tracker'!$N$4:$N$123,F$5)</x:f>
        <x:v>0</x:v>
      </x:c>
      <x:c r="G14" s="29">
        <x:f>COUNTIFS('120-Day Tracker'!$B$4:$B$123,$A14,'120-Day Tracker'!$N$4:$N$123,G$5)</x:f>
        <x:v>0</x:v>
      </x:c>
      <x:c r="H14" s="70">
        <x:f>IF(SUM(B14:G14)=0,0,E14/SUM(B14:G14))</x:f>
        <x:v>0</x:v>
      </x:c>
    </x:row>
    <x:row r="15" s="11" customFormat="1" ht="30" customHeight="1">
      <x:c r="A15" s="28" t="n">
        <x:v>10</x:v>
      </x:c>
      <x:c r="B15" s="29">
        <x:f>COUNTIFS('120-Day Tracker'!$B$4:$B$123,$A15,'120-Day Tracker'!$N$4:$N$123,B$5)</x:f>
        <x:v>7</x:v>
      </x:c>
      <x:c r="C15" s="29">
        <x:f>COUNTIFS('120-Day Tracker'!$B$4:$B$123,$A15,'120-Day Tracker'!$N$4:$N$123,C$5)</x:f>
        <x:v>0</x:v>
      </x:c>
      <x:c r="D15" s="29">
        <x:f>COUNTIFS('120-Day Tracker'!$B$4:$B$123,$A15,'120-Day Tracker'!$N$4:$N$123,D$5)</x:f>
        <x:v>0</x:v>
      </x:c>
      <x:c r="E15" s="29">
        <x:f>COUNTIFS('120-Day Tracker'!$B$4:$B$123,$A15,'120-Day Tracker'!$N$4:$N$123,E$5)</x:f>
        <x:v>0</x:v>
      </x:c>
      <x:c r="F15" s="29">
        <x:f>COUNTIFS('120-Day Tracker'!$B$4:$B$123,$A15,'120-Day Tracker'!$N$4:$N$123,F$5)</x:f>
        <x:v>0</x:v>
      </x:c>
      <x:c r="G15" s="29">
        <x:f>COUNTIFS('120-Day Tracker'!$B$4:$B$123,$A15,'120-Day Tracker'!$N$4:$N$123,G$5)</x:f>
        <x:v>0</x:v>
      </x:c>
      <x:c r="H15" s="70">
        <x:f>IF(SUM(B15:G15)=0,0,E15/SUM(B15:G15))</x:f>
        <x:v>0</x:v>
      </x:c>
    </x:row>
    <x:row r="16" s="11" customFormat="1" ht="30" customHeight="1">
      <x:c r="A16" s="28" t="n">
        <x:v>11</x:v>
      </x:c>
      <x:c r="B16" s="29">
        <x:f>COUNTIFS('120-Day Tracker'!$B$4:$B$123,$A16,'120-Day Tracker'!$N$4:$N$123,B$5)</x:f>
        <x:v>7</x:v>
      </x:c>
      <x:c r="C16" s="29">
        <x:f>COUNTIFS('120-Day Tracker'!$B$4:$B$123,$A16,'120-Day Tracker'!$N$4:$N$123,C$5)</x:f>
        <x:v>0</x:v>
      </x:c>
      <x:c r="D16" s="29">
        <x:f>COUNTIFS('120-Day Tracker'!$B$4:$B$123,$A16,'120-Day Tracker'!$N$4:$N$123,D$5)</x:f>
        <x:v>0</x:v>
      </x:c>
      <x:c r="E16" s="29">
        <x:f>COUNTIFS('120-Day Tracker'!$B$4:$B$123,$A16,'120-Day Tracker'!$N$4:$N$123,E$5)</x:f>
        <x:v>0</x:v>
      </x:c>
      <x:c r="F16" s="29">
        <x:f>COUNTIFS('120-Day Tracker'!$B$4:$B$123,$A16,'120-Day Tracker'!$N$4:$N$123,F$5)</x:f>
        <x:v>0</x:v>
      </x:c>
      <x:c r="G16" s="29">
        <x:f>COUNTIFS('120-Day Tracker'!$B$4:$B$123,$A16,'120-Day Tracker'!$N$4:$N$123,G$5)</x:f>
        <x:v>0</x:v>
      </x:c>
      <x:c r="H16" s="70">
        <x:f>IF(SUM(B16:G16)=0,0,E16/SUM(B16:G16))</x:f>
        <x:v>0</x:v>
      </x:c>
    </x:row>
    <x:row r="17" s="11" customFormat="1" ht="30" customHeight="1">
      <x:c r="A17" s="28" t="n">
        <x:v>12</x:v>
      </x:c>
      <x:c r="B17" s="29">
        <x:f>COUNTIFS('120-Day Tracker'!$B$4:$B$123,$A17,'120-Day Tracker'!$N$4:$N$123,B$5)</x:f>
        <x:v>7</x:v>
      </x:c>
      <x:c r="C17" s="29">
        <x:f>COUNTIFS('120-Day Tracker'!$B$4:$B$123,$A17,'120-Day Tracker'!$N$4:$N$123,C$5)</x:f>
        <x:v>0</x:v>
      </x:c>
      <x:c r="D17" s="29">
        <x:f>COUNTIFS('120-Day Tracker'!$B$4:$B$123,$A17,'120-Day Tracker'!$N$4:$N$123,D$5)</x:f>
        <x:v>0</x:v>
      </x:c>
      <x:c r="E17" s="29">
        <x:f>COUNTIFS('120-Day Tracker'!$B$4:$B$123,$A17,'120-Day Tracker'!$N$4:$N$123,E$5)</x:f>
        <x:v>0</x:v>
      </x:c>
      <x:c r="F17" s="29">
        <x:f>COUNTIFS('120-Day Tracker'!$B$4:$B$123,$A17,'120-Day Tracker'!$N$4:$N$123,F$5)</x:f>
        <x:v>0</x:v>
      </x:c>
      <x:c r="G17" s="29">
        <x:f>COUNTIFS('120-Day Tracker'!$B$4:$B$123,$A17,'120-Day Tracker'!$N$4:$N$123,G$5)</x:f>
        <x:v>0</x:v>
      </x:c>
      <x:c r="H17" s="70">
        <x:f>IF(SUM(B17:G17)=0,0,E17/SUM(B17:G17))</x:f>
        <x:v>0</x:v>
      </x:c>
    </x:row>
    <x:row r="18" s="11" customFormat="1" ht="30" customHeight="1">
      <x:c r="A18" s="28" t="n">
        <x:v>13</x:v>
      </x:c>
      <x:c r="B18" s="29">
        <x:f>COUNTIFS('120-Day Tracker'!$B$4:$B$123,$A18,'120-Day Tracker'!$N$4:$N$123,B$5)</x:f>
        <x:v>7</x:v>
      </x:c>
      <x:c r="C18" s="29">
        <x:f>COUNTIFS('120-Day Tracker'!$B$4:$B$123,$A18,'120-Day Tracker'!$N$4:$N$123,C$5)</x:f>
        <x:v>0</x:v>
      </x:c>
      <x:c r="D18" s="29">
        <x:f>COUNTIFS('120-Day Tracker'!$B$4:$B$123,$A18,'120-Day Tracker'!$N$4:$N$123,D$5)</x:f>
        <x:v>0</x:v>
      </x:c>
      <x:c r="E18" s="29">
        <x:f>COUNTIFS('120-Day Tracker'!$B$4:$B$123,$A18,'120-Day Tracker'!$N$4:$N$123,E$5)</x:f>
        <x:v>0</x:v>
      </x:c>
      <x:c r="F18" s="29">
        <x:f>COUNTIFS('120-Day Tracker'!$B$4:$B$123,$A18,'120-Day Tracker'!$N$4:$N$123,F$5)</x:f>
        <x:v>0</x:v>
      </x:c>
      <x:c r="G18" s="29">
        <x:f>COUNTIFS('120-Day Tracker'!$B$4:$B$123,$A18,'120-Day Tracker'!$N$4:$N$123,G$5)</x:f>
        <x:v>0</x:v>
      </x:c>
      <x:c r="H18" s="70">
        <x:f>IF(SUM(B18:G18)=0,0,E18/SUM(B18:G18))</x:f>
        <x:v>0</x:v>
      </x:c>
    </x:row>
    <x:row r="19" s="11" customFormat="1" ht="30" customHeight="1">
      <x:c r="A19" s="28" t="n">
        <x:v>14</x:v>
      </x:c>
      <x:c r="B19" s="29">
        <x:f>COUNTIFS('120-Day Tracker'!$B$4:$B$123,$A19,'120-Day Tracker'!$N$4:$N$123,B$5)</x:f>
        <x:v>7</x:v>
      </x:c>
      <x:c r="C19" s="29">
        <x:f>COUNTIFS('120-Day Tracker'!$B$4:$B$123,$A19,'120-Day Tracker'!$N$4:$N$123,C$5)</x:f>
        <x:v>0</x:v>
      </x:c>
      <x:c r="D19" s="29">
        <x:f>COUNTIFS('120-Day Tracker'!$B$4:$B$123,$A19,'120-Day Tracker'!$N$4:$N$123,D$5)</x:f>
        <x:v>0</x:v>
      </x:c>
      <x:c r="E19" s="29">
        <x:f>COUNTIFS('120-Day Tracker'!$B$4:$B$123,$A19,'120-Day Tracker'!$N$4:$N$123,E$5)</x:f>
        <x:v>0</x:v>
      </x:c>
      <x:c r="F19" s="29">
        <x:f>COUNTIFS('120-Day Tracker'!$B$4:$B$123,$A19,'120-Day Tracker'!$N$4:$N$123,F$5)</x:f>
        <x:v>0</x:v>
      </x:c>
      <x:c r="G19" s="29">
        <x:f>COUNTIFS('120-Day Tracker'!$B$4:$B$123,$A19,'120-Day Tracker'!$N$4:$N$123,G$5)</x:f>
        <x:v>0</x:v>
      </x:c>
      <x:c r="H19" s="70">
        <x:f>IF(SUM(B19:G19)=0,0,E19/SUM(B19:G19))</x:f>
        <x:v>0</x:v>
      </x:c>
    </x:row>
    <x:row r="20" s="11" customFormat="1" ht="30" customHeight="1">
      <x:c r="A20" s="28" t="n">
        <x:v>15</x:v>
      </x:c>
      <x:c r="B20" s="29">
        <x:f>COUNTIFS('120-Day Tracker'!$B$4:$B$123,$A20,'120-Day Tracker'!$N$4:$N$123,B$5)</x:f>
        <x:v>7</x:v>
      </x:c>
      <x:c r="C20" s="29">
        <x:f>COUNTIFS('120-Day Tracker'!$B$4:$B$123,$A20,'120-Day Tracker'!$N$4:$N$123,C$5)</x:f>
        <x:v>0</x:v>
      </x:c>
      <x:c r="D20" s="29">
        <x:f>COUNTIFS('120-Day Tracker'!$B$4:$B$123,$A20,'120-Day Tracker'!$N$4:$N$123,D$5)</x:f>
        <x:v>0</x:v>
      </x:c>
      <x:c r="E20" s="29">
        <x:f>COUNTIFS('120-Day Tracker'!$B$4:$B$123,$A20,'120-Day Tracker'!$N$4:$N$123,E$5)</x:f>
        <x:v>0</x:v>
      </x:c>
      <x:c r="F20" s="29">
        <x:f>COUNTIFS('120-Day Tracker'!$B$4:$B$123,$A20,'120-Day Tracker'!$N$4:$N$123,F$5)</x:f>
        <x:v>0</x:v>
      </x:c>
      <x:c r="G20" s="29">
        <x:f>COUNTIFS('120-Day Tracker'!$B$4:$B$123,$A20,'120-Day Tracker'!$N$4:$N$123,G$5)</x:f>
        <x:v>0</x:v>
      </x:c>
      <x:c r="H20" s="70">
        <x:f>IF(SUM(B20:G20)=0,0,E20/SUM(B20:G20))</x:f>
        <x:v>0</x:v>
      </x:c>
    </x:row>
    <x:row r="21" s="11" customFormat="1" ht="30" customHeight="1">
      <x:c r="A21" s="28" t="n">
        <x:v>16</x:v>
      </x:c>
      <x:c r="B21" s="29">
        <x:f>COUNTIFS('120-Day Tracker'!$B$4:$B$123,$A21,'120-Day Tracker'!$N$4:$N$123,B$5)</x:f>
        <x:v>7</x:v>
      </x:c>
      <x:c r="C21" s="29">
        <x:f>COUNTIFS('120-Day Tracker'!$B$4:$B$123,$A21,'120-Day Tracker'!$N$4:$N$123,C$5)</x:f>
        <x:v>0</x:v>
      </x:c>
      <x:c r="D21" s="29">
        <x:f>COUNTIFS('120-Day Tracker'!$B$4:$B$123,$A21,'120-Day Tracker'!$N$4:$N$123,D$5)</x:f>
        <x:v>0</x:v>
      </x:c>
      <x:c r="E21" s="29">
        <x:f>COUNTIFS('120-Day Tracker'!$B$4:$B$123,$A21,'120-Day Tracker'!$N$4:$N$123,E$5)</x:f>
        <x:v>0</x:v>
      </x:c>
      <x:c r="F21" s="29">
        <x:f>COUNTIFS('120-Day Tracker'!$B$4:$B$123,$A21,'120-Day Tracker'!$N$4:$N$123,F$5)</x:f>
        <x:v>0</x:v>
      </x:c>
      <x:c r="G21" s="29">
        <x:f>COUNTIFS('120-Day Tracker'!$B$4:$B$123,$A21,'120-Day Tracker'!$N$4:$N$123,G$5)</x:f>
        <x:v>0</x:v>
      </x:c>
      <x:c r="H21" s="70">
        <x:f>IF(SUM(B21:G21)=0,0,E21/SUM(B21:G21))</x:f>
        <x:v>0</x:v>
      </x:c>
    </x:row>
    <x:row r="22" s="11" customFormat="1" ht="30" customHeight="1">
      <x:c r="A22" s="28" t="n">
        <x:v>17</x:v>
      </x:c>
      <x:c r="B22" s="29">
        <x:f>COUNTIFS('120-Day Tracker'!$B$4:$B$123,$A22,'120-Day Tracker'!$N$4:$N$123,B$5)</x:f>
        <x:v>7</x:v>
      </x:c>
      <x:c r="C22" s="29">
        <x:f>COUNTIFS('120-Day Tracker'!$B$4:$B$123,$A22,'120-Day Tracker'!$N$4:$N$123,C$5)</x:f>
        <x:v>0</x:v>
      </x:c>
      <x:c r="D22" s="29">
        <x:f>COUNTIFS('120-Day Tracker'!$B$4:$B$123,$A22,'120-Day Tracker'!$N$4:$N$123,D$5)</x:f>
        <x:v>0</x:v>
      </x:c>
      <x:c r="E22" s="29">
        <x:f>COUNTIFS('120-Day Tracker'!$B$4:$B$123,$A22,'120-Day Tracker'!$N$4:$N$123,E$5)</x:f>
        <x:v>0</x:v>
      </x:c>
      <x:c r="F22" s="29">
        <x:f>COUNTIFS('120-Day Tracker'!$B$4:$B$123,$A22,'120-Day Tracker'!$N$4:$N$123,F$5)</x:f>
        <x:v>0</x:v>
      </x:c>
      <x:c r="G22" s="29">
        <x:f>COUNTIFS('120-Day Tracker'!$B$4:$B$123,$A22,'120-Day Tracker'!$N$4:$N$123,G$5)</x:f>
        <x:v>0</x:v>
      </x:c>
      <x:c r="H22" s="70">
        <x:f>IF(SUM(B22:G22)=0,0,E22/SUM(B22:G22))</x:f>
        <x:v>0</x:v>
      </x:c>
    </x:row>
    <x:row r="23" s="11" customFormat="1" ht="30" customHeight="1">
      <x:c r="A23" s="28" t="n">
        <x:v>18</x:v>
      </x:c>
      <x:c r="B23" s="29">
        <x:f>COUNTIFS('120-Day Tracker'!$B$4:$B$123,$A23,'120-Day Tracker'!$N$4:$N$123,B$5)</x:f>
        <x:v>1</x:v>
      </x:c>
      <x:c r="C23" s="29">
        <x:f>COUNTIFS('120-Day Tracker'!$B$4:$B$123,$A23,'120-Day Tracker'!$N$4:$N$123,C$5)</x:f>
        <x:v>0</x:v>
      </x:c>
      <x:c r="D23" s="29">
        <x:f>COUNTIFS('120-Day Tracker'!$B$4:$B$123,$A23,'120-Day Tracker'!$N$4:$N$123,D$5)</x:f>
        <x:v>0</x:v>
      </x:c>
      <x:c r="E23" s="29">
        <x:f>COUNTIFS('120-Day Tracker'!$B$4:$B$123,$A23,'120-Day Tracker'!$N$4:$N$123,E$5)</x:f>
        <x:v>0</x:v>
      </x:c>
      <x:c r="F23" s="29">
        <x:f>COUNTIFS('120-Day Tracker'!$B$4:$B$123,$A23,'120-Day Tracker'!$N$4:$N$123,F$5)</x:f>
        <x:v>0</x:v>
      </x:c>
      <x:c r="G23" s="29">
        <x:f>COUNTIFS('120-Day Tracker'!$B$4:$B$123,$A23,'120-Day Tracker'!$N$4:$N$123,G$5)</x:f>
        <x:v>0</x:v>
      </x:c>
      <x:c r="H23" s="70">
        <x:f>IF(SUM(B23:G23)=0,0,E23/SUM(B23:G23))</x:f>
        <x:v>0</x:v>
      </x:c>
    </x:row>
    <x:row r="24" s="11" customFormat="1" ht="30" customHeight="1"/>
    <x:row r="25" s="11" customFormat="1" ht="30" customHeight="1"/>
    <x:row r="26" s="11" customFormat="1" ht="30" customHeight="1">
      <x:c r="A26" s="15" t="inlineStr">
        <x:is>
          <x:t xml:space="preserve">Concept Tracker Status by Domain</x:t>
        </x:is>
      </x:c>
      <x:c r="B26" s="61" t="n"/>
      <x:c r="C26" s="61" t="n"/>
      <x:c r="D26" s="61" t="n"/>
      <x:c r="E26" s="61" t="n"/>
      <x:c r="F26" s="61" t="n"/>
      <x:c r="G26" s="61" t="n"/>
      <x:c r="H26" s="62" t="n"/>
    </x:row>
    <x:row r="27" s="11" customFormat="1" ht="30" customHeight="1">
      <x:c r="A27" s="27" t="inlineStr">
        <x:is>
          <x:t xml:space="preserve">Domain</x:t>
        </x:is>
      </x:c>
      <x:c r="B27" s="27" t="inlineStr">
        <x:is>
          <x:t xml:space="preserve">Not Started</x:t>
        </x:is>
      </x:c>
      <x:c r="C27" s="27" t="inlineStr">
        <x:is>
          <x:t xml:space="preserve">In Progress</x:t>
        </x:is>
      </x:c>
      <x:c r="D27" s="27" t="inlineStr">
        <x:is>
          <x:t xml:space="preserve">Review</x:t>
        </x:is>
      </x:c>
      <x:c r="E27" s="27" t="inlineStr">
        <x:is>
          <x:t xml:space="preserve">Done</x:t>
        </x:is>
      </x:c>
      <x:c r="F27" s="27" t="inlineStr">
        <x:is>
          <x:t xml:space="preserve">Blocked</x:t>
        </x:is>
      </x:c>
      <x:c r="G27" s="27" t="inlineStr">
        <x:is>
          <x:t xml:space="preserve">Skipped</x:t>
        </x:is>
      </x:c>
      <x:c r="H27" s="27" t="inlineStr">
        <x:is>
          <x:t xml:space="preserve">Completion %</x:t>
        </x:is>
      </x:c>
    </x:row>
    <x:row r="28" s="11" customFormat="1" ht="30" customHeight="1">
      <x:c r="A28" s="32" t="inlineStr">
        <x:is>
          <x:t xml:space="preserve">DSA</x:t>
        </x:is>
      </x:c>
      <x:c r="B28" s="29">
        <x:f>COUNTIFS('Concepts Tracker'!$B$4:$B$93,$A28,'Concepts Tracker'!$J$4:$J$93,B$27)</x:f>
        <x:v>18</x:v>
      </x:c>
      <x:c r="C28" s="29">
        <x:f>COUNTIFS('Concepts Tracker'!$B$4:$B$93,$A28,'Concepts Tracker'!$J$4:$J$93,C$27)</x:f>
        <x:v>0</x:v>
      </x:c>
      <x:c r="D28" s="29">
        <x:f>COUNTIFS('Concepts Tracker'!$B$4:$B$93,$A28,'Concepts Tracker'!$J$4:$J$93,D$27)</x:f>
        <x:v>0</x:v>
      </x:c>
      <x:c r="E28" s="29">
        <x:f>COUNTIFS('Concepts Tracker'!$B$4:$B$93,$A28,'Concepts Tracker'!$J$4:$J$93,E$27)</x:f>
        <x:v>0</x:v>
      </x:c>
      <x:c r="F28" s="29">
        <x:f>COUNTIFS('Concepts Tracker'!$B$4:$B$93,$A28,'Concepts Tracker'!$J$4:$J$93,F$27)</x:f>
        <x:v>0</x:v>
      </x:c>
      <x:c r="G28" s="29">
        <x:f>COUNTIFS('Concepts Tracker'!$B$4:$B$93,$A28,'Concepts Tracker'!$J$4:$J$93,G$27)</x:f>
        <x:v>0</x:v>
      </x:c>
      <x:c r="H28" s="70">
        <x:f>IF(SUM(B28:G28)=0,0,E28/SUM(B28:G28))</x:f>
        <x:v>0</x:v>
      </x:c>
    </x:row>
    <x:row r="29" s="11" customFormat="1" ht="30" customHeight="1">
      <x:c r="A29" s="32" t="inlineStr">
        <x:is>
          <x:t xml:space="preserve">Java / Spring</x:t>
        </x:is>
      </x:c>
      <x:c r="B29" s="29">
        <x:f>COUNTIFS('Concepts Tracker'!$B$4:$B$93,$A29,'Concepts Tracker'!$J$4:$J$93,B$27)</x:f>
        <x:v>18</x:v>
      </x:c>
      <x:c r="C29" s="29">
        <x:f>COUNTIFS('Concepts Tracker'!$B$4:$B$93,$A29,'Concepts Tracker'!$J$4:$J$93,C$27)</x:f>
        <x:v>0</x:v>
      </x:c>
      <x:c r="D29" s="29">
        <x:f>COUNTIFS('Concepts Tracker'!$B$4:$B$93,$A29,'Concepts Tracker'!$J$4:$J$93,D$27)</x:f>
        <x:v>0</x:v>
      </x:c>
      <x:c r="E29" s="29">
        <x:f>COUNTIFS('Concepts Tracker'!$B$4:$B$93,$A29,'Concepts Tracker'!$J$4:$J$93,E$27)</x:f>
        <x:v>0</x:v>
      </x:c>
      <x:c r="F29" s="29">
        <x:f>COUNTIFS('Concepts Tracker'!$B$4:$B$93,$A29,'Concepts Tracker'!$J$4:$J$93,F$27)</x:f>
        <x:v>0</x:v>
      </x:c>
      <x:c r="G29" s="29">
        <x:f>COUNTIFS('Concepts Tracker'!$B$4:$B$93,$A29,'Concepts Tracker'!$J$4:$J$93,G$27)</x:f>
        <x:v>0</x:v>
      </x:c>
      <x:c r="H29" s="70">
        <x:f>IF(SUM(B29:G29)=0,0,E29/SUM(B29:G29))</x:f>
        <x:v>0</x:v>
      </x:c>
    </x:row>
    <x:row r="30" s="11" customFormat="1" ht="30" customHeight="1">
      <x:c r="A30" s="32" t="inlineStr">
        <x:is>
          <x:t xml:space="preserve">AWS / DevOps</x:t>
        </x:is>
      </x:c>
      <x:c r="B30" s="29">
        <x:f>COUNTIFS('Concepts Tracker'!$B$4:$B$93,$A30,'Concepts Tracker'!$J$4:$J$93,B$27)</x:f>
        <x:v>18</x:v>
      </x:c>
      <x:c r="C30" s="29">
        <x:f>COUNTIFS('Concepts Tracker'!$B$4:$B$93,$A30,'Concepts Tracker'!$J$4:$J$93,C$27)</x:f>
        <x:v>0</x:v>
      </x:c>
      <x:c r="D30" s="29">
        <x:f>COUNTIFS('Concepts Tracker'!$B$4:$B$93,$A30,'Concepts Tracker'!$J$4:$J$93,D$27)</x:f>
        <x:v>0</x:v>
      </x:c>
      <x:c r="E30" s="29">
        <x:f>COUNTIFS('Concepts Tracker'!$B$4:$B$93,$A30,'Concepts Tracker'!$J$4:$J$93,E$27)</x:f>
        <x:v>0</x:v>
      </x:c>
      <x:c r="F30" s="29">
        <x:f>COUNTIFS('Concepts Tracker'!$B$4:$B$93,$A30,'Concepts Tracker'!$J$4:$J$93,F$27)</x:f>
        <x:v>0</x:v>
      </x:c>
      <x:c r="G30" s="29">
        <x:f>COUNTIFS('Concepts Tracker'!$B$4:$B$93,$A30,'Concepts Tracker'!$J$4:$J$93,G$27)</x:f>
        <x:v>0</x:v>
      </x:c>
      <x:c r="H30" s="70">
        <x:f>IF(SUM(B30:G30)=0,0,E30/SUM(B30:G30))</x:f>
        <x:v>0</x:v>
      </x:c>
    </x:row>
    <x:row r="31" s="11" customFormat="1" ht="30" customHeight="1">
      <x:c r="A31" s="32" t="inlineStr">
        <x:is>
          <x:t xml:space="preserve">React / Frontend</x:t>
        </x:is>
      </x:c>
      <x:c r="B31" s="29">
        <x:f>COUNTIFS('Concepts Tracker'!$B$4:$B$93,$A31,'Concepts Tracker'!$J$4:$J$93,B$27)</x:f>
        <x:v>18</x:v>
      </x:c>
      <x:c r="C31" s="29">
        <x:f>COUNTIFS('Concepts Tracker'!$B$4:$B$93,$A31,'Concepts Tracker'!$J$4:$J$93,C$27)</x:f>
        <x:v>0</x:v>
      </x:c>
      <x:c r="D31" s="29">
        <x:f>COUNTIFS('Concepts Tracker'!$B$4:$B$93,$A31,'Concepts Tracker'!$J$4:$J$93,D$27)</x:f>
        <x:v>0</x:v>
      </x:c>
      <x:c r="E31" s="29">
        <x:f>COUNTIFS('Concepts Tracker'!$B$4:$B$93,$A31,'Concepts Tracker'!$J$4:$J$93,E$27)</x:f>
        <x:v>0</x:v>
      </x:c>
      <x:c r="F31" s="29">
        <x:f>COUNTIFS('Concepts Tracker'!$B$4:$B$93,$A31,'Concepts Tracker'!$J$4:$J$93,F$27)</x:f>
        <x:v>0</x:v>
      </x:c>
      <x:c r="G31" s="29">
        <x:f>COUNTIFS('Concepts Tracker'!$B$4:$B$93,$A31,'Concepts Tracker'!$J$4:$J$93,G$27)</x:f>
        <x:v>0</x:v>
      </x:c>
      <x:c r="H31" s="70">
        <x:f>IF(SUM(B31:G31)=0,0,E31/SUM(B31:G31))</x:f>
        <x:v>0</x:v>
      </x:c>
    </x:row>
    <x:row r="32" s="11" customFormat="1" ht="30" customHeight="1">
      <x:c r="A32" s="32" t="inlineStr">
        <x:is>
          <x:t xml:space="preserve">Architecture / Design</x:t>
        </x:is>
      </x:c>
      <x:c r="B32" s="29">
        <x:f>COUNTIFS('Concepts Tracker'!$B$4:$B$93,$A32,'Concepts Tracker'!$J$4:$J$93,B$27)</x:f>
        <x:v>18</x:v>
      </x:c>
      <x:c r="C32" s="29">
        <x:f>COUNTIFS('Concepts Tracker'!$B$4:$B$93,$A32,'Concepts Tracker'!$J$4:$J$93,C$27)</x:f>
        <x:v>0</x:v>
      </x:c>
      <x:c r="D32" s="29">
        <x:f>COUNTIFS('Concepts Tracker'!$B$4:$B$93,$A32,'Concepts Tracker'!$J$4:$J$93,D$27)</x:f>
        <x:v>0</x:v>
      </x:c>
      <x:c r="E32" s="29">
        <x:f>COUNTIFS('Concepts Tracker'!$B$4:$B$93,$A32,'Concepts Tracker'!$J$4:$J$93,E$27)</x:f>
        <x:v>0</x:v>
      </x:c>
      <x:c r="F32" s="29">
        <x:f>COUNTIFS('Concepts Tracker'!$B$4:$B$93,$A32,'Concepts Tracker'!$J$4:$J$93,F$27)</x:f>
        <x:v>0</x:v>
      </x:c>
      <x:c r="G32" s="29">
        <x:f>COUNTIFS('Concepts Tracker'!$B$4:$B$93,$A32,'Concepts Tracker'!$J$4:$J$93,G$27)</x:f>
        <x:v>0</x:v>
      </x:c>
      <x:c r="H32" s="70">
        <x:f>IF(SUM(B32:G32)=0,0,E32/SUM(B32:G32))</x:f>
        <x:v>0</x:v>
      </x:c>
    </x:row>
    <x:row r="33" s="11" customFormat="1" ht="30" customHeight="1"/>
    <x:row r="34" s="11" customFormat="1" ht="30" customHeight="1"/>
    <x:row r="35" s="11" customFormat="1" ht="30" customHeight="1"/>
    <x:row r="36" s="11" customFormat="1" ht="30" customHeight="1">
      <x:c r="A36" s="15" t="inlineStr">
        <x:is>
          <x:t xml:space="preserve">Capstone Status Summary</x:t>
        </x:is>
      </x:c>
      <x:c r="B36" s="61" t="n"/>
      <x:c r="C36" s="61" t="n"/>
      <x:c r="D36" s="61" t="n"/>
      <x:c r="E36" s="62" t="n"/>
    </x:row>
    <x:row r="37" s="11" customFormat="1" ht="30" customHeight="1">
      <x:c r="A37" s="27" t="inlineStr">
        <x:is>
          <x:t xml:space="preserve">Status</x:t>
        </x:is>
      </x:c>
      <x:c r="B37" s="27" t="inlineStr">
        <x:is>
          <x:t xml:space="preserve">Count</x:t>
        </x:is>
      </x:c>
      <x:c r="C37" s="27" t="inlineStr">
        <x:is>
          <x:t xml:space="preserve">% of Items</x:t>
        </x:is>
      </x:c>
      <x:c r="D37" s="27" t="inlineStr">
        <x:is>
          <x:t xml:space="preserve">Signal</x:t>
        </x:is>
      </x:c>
      <x:c r="E37" s="27" t="inlineStr">
        <x:is>
          <x:t xml:space="preserve">Action</x:t>
        </x:is>
      </x:c>
    </x:row>
    <x:row r="38" s="11" customFormat="1" ht="30" customHeight="1">
      <x:c r="A38" s="33" t="inlineStr">
        <x:is>
          <x:t xml:space="preserve">Not Started</x:t>
        </x:is>
      </x:c>
      <x:c r="B38" s="33">
        <x:f>COUNTIF('Capstone Tracker'!$F$4:$F$19,A38)</x:f>
        <x:v>16</x:v>
      </x:c>
      <x:c r="C38" s="76">
        <x:f>B38/16</x:f>
        <x:v>1</x:v>
      </x:c>
      <x:c r="D38" s="34" t="str">
        <x:f>IF(C38&gt;=0.5,"Visible Progress",IF(B38=0,"No Movement","Work in Queue"))</x:f>
        <x:v>Visible Progress</x:v>
      </x:c>
      <x:c r="E38" s="34" t="inlineStr">
        <x:is>
          <x:t xml:space="preserve">Start smallest artifact next</x:t>
        </x:is>
      </x:c>
    </x:row>
    <x:row r="39" s="11" customFormat="1" ht="30" customHeight="1">
      <x:c r="A39" s="33" t="inlineStr">
        <x:is>
          <x:t xml:space="preserve">In Progress</x:t>
        </x:is>
      </x:c>
      <x:c r="B39" s="33">
        <x:f>COUNTIF('Capstone Tracker'!$F$4:$F$19,A39)</x:f>
        <x:v>0</x:v>
      </x:c>
      <x:c r="C39" s="76">
        <x:f>B39/16</x:f>
        <x:v>0</x:v>
      </x:c>
      <x:c r="D39" s="34" t="str">
        <x:f>IF(C39&gt;=0.5,"Visible Progress",IF(B39=0,"No Movement","Work in Queue"))</x:f>
        <x:v>No Movement</x:v>
      </x:c>
      <x:c r="E39" s="34" t="inlineStr">
        <x:is>
          <x:t xml:space="preserve">Finish and capture evidence</x:t>
        </x:is>
      </x:c>
    </x:row>
    <x:row r="40" s="11" customFormat="1" ht="30" customHeight="1">
      <x:c r="A40" s="33" t="inlineStr">
        <x:is>
          <x:t xml:space="preserve">Review</x:t>
        </x:is>
      </x:c>
      <x:c r="B40" s="33">
        <x:f>COUNTIF('Capstone Tracker'!$F$4:$F$19,A40)</x:f>
        <x:v>0</x:v>
      </x:c>
      <x:c r="C40" s="76">
        <x:f>B40/16</x:f>
        <x:v>0</x:v>
      </x:c>
      <x:c r="D40" s="34" t="str">
        <x:f>IF(C40&gt;=0.5,"Visible Progress",IF(B40=0,"No Movement","Work in Queue"))</x:f>
        <x:v>No Movement</x:v>
      </x:c>
      <x:c r="E40" s="34" t="inlineStr">
        <x:is>
          <x:t xml:space="preserve">Close review gaps</x:t>
        </x:is>
      </x:c>
    </x:row>
    <x:row r="41" s="11" customFormat="1" ht="30" customHeight="1">
      <x:c r="A41" s="33" t="inlineStr">
        <x:is>
          <x:t xml:space="preserve">Done</x:t>
        </x:is>
      </x:c>
      <x:c r="B41" s="33">
        <x:f>COUNTIF('Capstone Tracker'!$F$4:$F$19,A41)</x:f>
        <x:v>0</x:v>
      </x:c>
      <x:c r="C41" s="76">
        <x:f>B41/16</x:f>
        <x:v>0</x:v>
      </x:c>
      <x:c r="D41" s="34" t="str">
        <x:f>IF(C41&gt;=0.5,"Visible Progress",IF(B41=0,"No Movement","Work in Queue"))</x:f>
        <x:v>No Movement</x:v>
      </x:c>
      <x:c r="E41" s="34" t="inlineStr">
        <x:is>
          <x:t xml:space="preserve">Keep polishing portfolio</x:t>
        </x:is>
      </x:c>
    </x:row>
    <x:row r="42" s="11" customFormat="1" ht="30" customHeight="1">
      <x:c r="A42" s="33" t="inlineStr">
        <x:is>
          <x:t xml:space="preserve">Blocked</x:t>
        </x:is>
      </x:c>
      <x:c r="B42" s="33">
        <x:f>COUNTIF('Capstone Tracker'!$F$4:$F$19,A42)</x:f>
        <x:v>0</x:v>
      </x:c>
      <x:c r="C42" s="76">
        <x:f>B42/16</x:f>
        <x:v>0</x:v>
      </x:c>
      <x:c r="D42" s="34" t="str">
        <x:f>IF(C42&gt;=0.5,"Visible Progress",IF(B42=0,"No Movement","Work in Queue"))</x:f>
        <x:v>No Movement</x:v>
      </x:c>
      <x:c r="E42" s="34" t="inlineStr">
        <x:is>
          <x:t xml:space="preserve">Resolve dependency fast</x:t>
        </x:is>
      </x:c>
    </x:row>
    <x:row r="43" s="11" customFormat="1" ht="30" customHeight="1">
      <x:c r="A43" s="33" t="inlineStr">
        <x:is>
          <x:t xml:space="preserve">Skipped</x:t>
        </x:is>
      </x:c>
      <x:c r="B43" s="33">
        <x:f>COUNTIF('Capstone Tracker'!$F$4:$F$19,A43)</x:f>
        <x:v>0</x:v>
      </x:c>
      <x:c r="C43" s="76">
        <x:f>B43/16</x:f>
        <x:v>0</x:v>
      </x:c>
      <x:c r="D43" s="34" t="str">
        <x:f>IF(C43&gt;=0.5,"Visible Progress",IF(B43=0,"No Movement","Work in Queue"))</x:f>
        <x:v>No Movement</x:v>
      </x:c>
      <x:c r="E43" s="34" t="inlineStr">
        <x:is>
          <x:t xml:space="preserve">Confirm that skip is intentional</x:t>
        </x:is>
      </x:c>
    </x:row>
    <x:row r="44" s="11" customFormat="1" ht="30" customHeight="1"/>
  </x:sheetData>
  <x:mergeCells>
    <x:mergeCell ref="A4:H4"/>
    <x:mergeCell ref="A26:H26"/>
    <x:mergeCell ref="A2:I2"/>
    <x:mergeCell ref="A1:I1"/>
    <x:mergeCell ref="A36:E36"/>
  </x:mergeCells>
  <x:conditionalFormatting sqref="B6:G23">
    <x:cfRule type="colorScale" priority="1">
      <x:colorScale>
        <x:cfvo type="num" val="0"/>
        <x:cfvo type="num" val="2"/>
        <x:cfvo type="num" val="7"/>
        <x:color rgb="00FFFFFF"/>
        <x:color rgb="00FFEB84"/>
        <x:color rgb="0063BE7B"/>
      </x:colorScale>
    </x:cfRule>
  </x:conditionalFormatting>
  <x:conditionalFormatting sqref="B28:G32">
    <x:cfRule type="colorScale" priority="2">
      <x:colorScale>
        <x:cfvo type="num" val="0"/>
        <x:cfvo type="num" val="4"/>
        <x:cfvo type="num" val="18"/>
        <x:color rgb="00FFFFFF"/>
        <x:color rgb="00FFEB84"/>
        <x:color rgb="0063BE7B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1F4E78"/>
  </x:sheetPr>
  <x:sheetViews>
    <x:sheetView showGridLines="0" workbookViewId="0"/>
  </x:sheetViews>
  <x:sheetFormatPr baseColWidth="8" defaultRowHeight="14.5"/>
  <x:cols>
    <x:col min="1" max="1" width="20" style="11" customWidth="1"/>
    <x:col min="2" max="2" width="28" style="11" customWidth="1"/>
    <x:col min="3" max="3" width="14" style="11" customWidth="1"/>
    <x:col min="4" max="4" width="4" style="11" customWidth="1"/>
    <x:col min="5" max="5" width="26" style="11" customWidth="1"/>
    <x:col min="6" max="6" width="54" style="11" customWidth="1"/>
    <x:col min="7" max="7" width="26" style="11" customWidth="1"/>
  </x:cols>
  <x:sheetData>
    <x:row r="1" s="11" customFormat="1" ht="23.5" customHeight="1">
      <x:c r="A1" s="8" t="inlineStr">
        <x:is>
          <x:t xml:space="preserve">120-Day Solution Architect Upskilling Plan</x:t>
        </x:is>
      </x:c>
      <x:c r="B1" s="56" t="n"/>
      <x:c r="C1" s="56" t="n"/>
      <x:c r="D1" s="56" t="n"/>
      <x:c r="E1" s="56" t="n"/>
      <x:c r="F1" s="56" t="n"/>
      <x:c r="G1" s="7" t="n"/>
    </x:row>
    <x:row r="2">
      <x:c r="A2" s="7" t="n"/>
      <x:c r="B2" s="7" t="n"/>
      <x:c r="C2" s="7" t="n"/>
      <x:c r="D2" s="7" t="n"/>
      <x:c r="E2" s="7" t="n"/>
      <x:c r="F2" s="7" t="n"/>
      <x:c r="G2" s="7" t="n"/>
    </x:row>
    <x:row r="3">
      <x:c r="A3" s="2" t="inlineStr">
        <x:is>
          <x:t xml:space="preserve">Goal</x:t>
        </x:is>
      </x:c>
      <x:c r="B3" s="7" t="inlineStr">
        <x:is>
          <x:t xml:space="preserve">Move from senior Java full-stack developer to solution-architect-ready engineer across DSA, Java, AWS, React, system design, security, DevOps, observability, and GenAI.</x:t>
        </x:is>
      </x:c>
      <x:c r="C3" s="56" t="n"/>
      <x:c r="D3" s="56" t="n"/>
      <x:c r="E3" s="56" t="n"/>
      <x:c r="F3" s="56" t="n"/>
      <x:c r="G3" s="7" t="n"/>
    </x:row>
    <x:row r="4">
      <x:c r="A4" s="2" t="inlineStr">
        <x:is>
          <x:t xml:space="preserve">Study model</x:t>
        </x:is>
      </x:c>
      <x:c r="B4" s="7" t="inlineStr">
        <x:is>
          <x:t xml:space="preserve">Day 1 can be any Monday-equivalent. Follow the weekday/weekend cadence, not actual calendar dates. Total guided time in this workbook is 702 hours if you start on a Monday (86 weekdays x 5h + 34 weekend days x 8h).</x:t>
        </x:is>
      </x:c>
      <x:c r="C4" s="56" t="n"/>
      <x:c r="D4" s="56" t="n"/>
      <x:c r="E4" s="56" t="n"/>
      <x:c r="F4" s="56" t="n"/>
      <x:c r="G4" s="7" t="n"/>
    </x:row>
    <x:row r="5">
      <x:c r="A5" s="2" t="inlineStr">
        <x:is>
          <x:t xml:space="preserve">Reality check</x:t>
        </x:is>
      </x:c>
      <x:c r="B5" s="7" t="inlineStr">
        <x:is>
          <x:t xml:space="preserve">No 120-day plan can literally cover everything. This one is built to cover the highest-yield architect path with theory + hands-on + design + delivery so you do not miss the major building blocks.</x:t>
        </x:is>
      </x:c>
      <x:c r="C5" s="56" t="n"/>
      <x:c r="D5" s="56" t="n"/>
      <x:c r="E5" s="56" t="n"/>
      <x:c r="F5" s="56" t="n"/>
      <x:c r="G5" s="7" t="n"/>
    </x:row>
    <x:row r="6">
      <x:c r="A6" s="2" t="inlineStr">
        <x:is>
          <x:t xml:space="preserve">Output rule</x:t>
        </x:is>
      </x:c>
      <x:c r="B6" s="7" t="inlineStr">
        <x:is>
          <x:t xml:space="preserve">Every weekend must produce something visible: code, deploy, design diagram, ADR, runbook, test report, or presentation.</x:t>
        </x:is>
      </x:c>
      <x:c r="C6" s="56" t="n"/>
      <x:c r="D6" s="56" t="n"/>
      <x:c r="E6" s="56" t="n"/>
      <x:c r="F6" s="56" t="n"/>
      <x:c r="G6" s="7" t="n"/>
    </x:row>
    <x:row r="7">
      <x:c r="A7" s="7" t="n"/>
      <x:c r="B7" s="7" t="n"/>
      <x:c r="C7" s="7" t="n"/>
      <x:c r="D7" s="7" t="n"/>
      <x:c r="E7" s="7" t="n"/>
      <x:c r="F7" s="7" t="n"/>
      <x:c r="G7" s="7" t="n"/>
    </x:row>
    <x:row r="8">
      <x:c r="A8" s="7" t="n"/>
      <x:c r="B8" s="7" t="n"/>
      <x:c r="C8" s="7" t="n"/>
      <x:c r="D8" s="7" t="n"/>
      <x:c r="E8" s="7" t="n"/>
      <x:c r="F8" s="7" t="n"/>
      <x:c r="G8" s="7" t="n"/>
    </x:row>
    <x:row r="9">
      <x:c r="A9" s="9" t="inlineStr">
        <x:is>
          <x:t xml:space="preserve">Weekday template (5 hours total)</x:t>
        </x:is>
      </x:c>
      <x:c r="B9" s="56" t="n"/>
      <x:c r="C9" s="56" t="n"/>
      <x:c r="D9" s="7" t="n"/>
      <x:c r="E9" s="9" t="inlineStr">
        <x:is>
          <x:t xml:space="preserve">Phase outcomes</x:t>
        </x:is>
      </x:c>
      <x:c r="F9" s="56" t="n"/>
      <x:c r="G9" s="7" t="n"/>
    </x:row>
    <x:row r="10" s="11" customFormat="1" ht="29" customHeight="1">
      <x:c r="A10" s="7" t="n">
        <x:v>1</x:v>
      </x:c>
      <x:c r="B10" s="7" t="inlineStr">
        <x:is>
          <x:t xml:space="preserve">DSA</x:t>
        </x:is>
      </x:c>
      <x:c r="C10" s="7" t="inlineStr">
        <x:is>
          <x:t xml:space="preserve">60 min</x:t>
        </x:is>
      </x:c>
      <x:c r="D10" s="7" t="n"/>
      <x:c r="E10" s="2" t="inlineStr">
        <x:is>
          <x:t xml:space="preserve">Phase 1 (Days 1-30)</x:t>
        </x:is>
      </x:c>
      <x:c r="F10" s="7" t="inlineStr">
        <x:is>
          <x:t xml:space="preserve">Foundation: DSA patterns, JVM, AWS core, React core, system-design basics.</x:t>
        </x:is>
      </x:c>
      <x:c r="G10" s="7" t="n"/>
    </x:row>
    <x:row r="11" s="11" customFormat="1" ht="29" customHeight="1">
      <x:c r="A11" s="7" t="n">
        <x:v>2</x:v>
      </x:c>
      <x:c r="B11" s="7" t="inlineStr">
        <x:is>
          <x:t xml:space="preserve">Break</x:t>
        </x:is>
      </x:c>
      <x:c r="C11" s="7" t="inlineStr">
        <x:is>
          <x:t xml:space="preserve">10 min</x:t>
        </x:is>
      </x:c>
      <x:c r="D11" s="7" t="n"/>
      <x:c r="E11" s="2" t="inlineStr">
        <x:is>
          <x:t xml:space="preserve">Phase 2 (Days 31-60)</x:t>
        </x:is>
      </x:c>
      <x:c r="F11" s="7" t="inlineStr">
        <x:is>
          <x:t xml:space="preserve">Build systems: Spring Boot, databases, Lambda, containers, state management, messaging.</x:t>
        </x:is>
      </x:c>
      <x:c r="G11" s="7" t="n"/>
    </x:row>
    <x:row r="12" s="11" customFormat="1" ht="29" customHeight="1">
      <x:c r="A12" s="7" t="n">
        <x:v>3</x:v>
      </x:c>
      <x:c r="B12" s="7" t="inlineStr">
        <x:is>
          <x:t xml:space="preserve">Java / Spring</x:t>
        </x:is>
      </x:c>
      <x:c r="C12" s="7" t="inlineStr">
        <x:is>
          <x:t xml:space="preserve">50 min</x:t>
        </x:is>
      </x:c>
      <x:c r="D12" s="7" t="n"/>
      <x:c r="E12" s="2" t="inlineStr">
        <x:is>
          <x:t xml:space="preserve">Phase 3 (Days 61-90)</x:t>
        </x:is>
      </x:c>
      <x:c r="F12" s="7" t="inlineStr">
        <x:is>
          <x:t xml:space="preserve">Distributed systems: graphs/DP, microservices, security, observability, performance, TypeScript.</x:t>
        </x:is>
      </x:c>
      <x:c r="G12" s="7" t="n"/>
    </x:row>
    <x:row r="13" s="11" customFormat="1" ht="29" customHeight="1">
      <x:c r="A13" s="7" t="n">
        <x:v>4</x:v>
      </x:c>
      <x:c r="B13" s="7" t="inlineStr">
        <x:is>
          <x:t xml:space="preserve">Break</x:t>
        </x:is>
      </x:c>
      <x:c r="C13" s="7" t="inlineStr">
        <x:is>
          <x:t xml:space="preserve">10 min</x:t>
        </x:is>
      </x:c>
      <x:c r="D13" s="7" t="n"/>
      <x:c r="E13" s="2" t="inlineStr">
        <x:is>
          <x:t xml:space="preserve">Phase 4 (Days 91-120)</x:t>
        </x:is>
      </x:c>
      <x:c r="F13" s="7" t="inlineStr">
        <x:is>
          <x:t xml:space="preserve">Architect mode: HA/cost/reliability design, GenAI/RAG, capstone delivery, presentations, mock rounds.</x:t>
        </x:is>
      </x:c>
      <x:c r="G13" s="7" t="n"/>
    </x:row>
    <x:row r="14">
      <x:c r="A14" s="7" t="n">
        <x:v>5</x:v>
      </x:c>
      <x:c r="B14" s="7" t="inlineStr">
        <x:is>
          <x:t xml:space="preserve">AWS / DevOps</x:t>
        </x:is>
      </x:c>
      <x:c r="C14" s="7" t="inlineStr">
        <x:is>
          <x:t xml:space="preserve">60 min</x:t>
        </x:is>
      </x:c>
      <x:c r="D14" s="7" t="n"/>
      <x:c r="E14" s="7" t="n"/>
      <x:c r="F14" s="7" t="n"/>
      <x:c r="G14" s="7" t="n"/>
    </x:row>
    <x:row r="15">
      <x:c r="A15" s="7" t="n">
        <x:v>6</x:v>
      </x:c>
      <x:c r="B15" s="7" t="inlineStr">
        <x:is>
          <x:t xml:space="preserve">Break</x:t>
        </x:is>
      </x:c>
      <x:c r="C15" s="7" t="inlineStr">
        <x:is>
          <x:t xml:space="preserve">10 min</x:t>
        </x:is>
      </x:c>
      <x:c r="D15" s="7" t="n"/>
      <x:c r="E15" s="7" t="n"/>
      <x:c r="F15" s="7" t="n"/>
      <x:c r="G15" s="7" t="n"/>
    </x:row>
    <x:row r="16">
      <x:c r="A16" s="7" t="n">
        <x:v>7</x:v>
      </x:c>
      <x:c r="B16" s="7" t="inlineStr">
        <x:is>
          <x:t xml:space="preserve">React / Frontend</x:t>
        </x:is>
      </x:c>
      <x:c r="C16" s="7" t="inlineStr">
        <x:is>
          <x:t xml:space="preserve">40 min</x:t>
        </x:is>
      </x:c>
      <x:c r="D16" s="7" t="n"/>
      <x:c r="E16" s="7" t="n"/>
      <x:c r="F16" s="7" t="n"/>
      <x:c r="G16" s="7" t="n"/>
    </x:row>
    <x:row r="17">
      <x:c r="A17" s="7" t="n">
        <x:v>8</x:v>
      </x:c>
      <x:c r="B17" s="7" t="inlineStr">
        <x:is>
          <x:t xml:space="preserve">Break</x:t>
        </x:is>
      </x:c>
      <x:c r="C17" s="7" t="inlineStr">
        <x:is>
          <x:t xml:space="preserve">10 min</x:t>
        </x:is>
      </x:c>
      <x:c r="D17" s="7" t="n"/>
      <x:c r="E17" s="9" t="inlineStr">
        <x:is>
          <x:t xml:space="preserve">Milestones</x:t>
        </x:is>
      </x:c>
      <x:c r="F17" s="56" t="n"/>
      <x:c r="G17" s="56" t="n"/>
    </x:row>
    <x:row r="18">
      <x:c r="A18" s="7" t="n">
        <x:v>9</x:v>
      </x:c>
      <x:c r="B18" s="7" t="inlineStr">
        <x:is>
          <x:t xml:space="preserve">Architecture layer</x:t>
        </x:is>
      </x:c>
      <x:c r="C18" s="7" t="inlineStr">
        <x:is>
          <x:t xml:space="preserve">40 min</x:t>
        </x:is>
      </x:c>
      <x:c r="D18" s="7" t="n"/>
      <x:c r="E18" s="2" t="inlineStr">
        <x:is>
          <x:t xml:space="preserve">Day</x:t>
        </x:is>
      </x:c>
      <x:c r="F18" s="2" t="inlineStr">
        <x:is>
          <x:t xml:space="preserve">Milestone</x:t>
        </x:is>
      </x:c>
      <x:c r="G18" s="2" t="inlineStr">
        <x:is>
          <x:t xml:space="preserve">Definition of done</x:t>
        </x:is>
      </x:c>
    </x:row>
    <x:row r="19" s="11" customFormat="1" ht="43.5" customHeight="1">
      <x:c r="A19" s="7" t="n">
        <x:v>10</x:v>
      </x:c>
      <x:c r="B19" s="7" t="inlineStr">
        <x:is>
          <x:t xml:space="preserve">Daily review / notes</x:t>
        </x:is>
      </x:c>
      <x:c r="C19" s="7" t="inlineStr">
        <x:is>
          <x:t xml:space="preserve">10 min</x:t>
        </x:is>
      </x:c>
      <x:c r="D19" s="7" t="n"/>
      <x:c r="E19" s="7" t="n">
        <x:v>30</x:v>
      </x:c>
      <x:c r="F19" s="7" t="inlineStr">
        <x:is>
          <x:t xml:space="preserve">Working full-stack CRUD app</x:t>
        </x:is>
      </x:c>
      <x:c r="G19" s="7" t="inlineStr">
        <x:is>
          <x:t xml:space="preserve">Spring Boot API + DB + React UI + AWS deploy basics + system design notes.</x:t>
        </x:is>
      </x:c>
    </x:row>
    <x:row r="20" s="11" customFormat="1" ht="58" customHeight="1">
      <x:c r="A20" s="7" t="n"/>
      <x:c r="B20" s="7" t="n"/>
      <x:c r="C20" s="7" t="n"/>
      <x:c r="D20" s="7" t="n"/>
      <x:c r="E20" s="7" t="n">
        <x:v>60</x:v>
      </x:c>
      <x:c r="F20" s="7" t="inlineStr">
        <x:is>
          <x:t xml:space="preserve">Event-driven full-stack service</x:t>
        </x:is>
      </x:c>
      <x:c r="G20" s="7" t="inlineStr">
        <x:is>
          <x:t xml:space="preserve">Messaging, cache, tests, Docker/ECS or Lambda/API Gateway, clean state management.</x:t>
        </x:is>
      </x:c>
    </x:row>
    <x:row r="21" s="11" customFormat="1" ht="58" customHeight="1">
      <x:c r="A21" s="7" t="n"/>
      <x:c r="B21" s="7" t="n"/>
      <x:c r="C21" s="7" t="n"/>
      <x:c r="D21" s="7" t="n"/>
      <x:c r="E21" s="7" t="n">
        <x:v>90</x:v>
      </x:c>
      <x:c r="F21" s="7" t="inlineStr">
        <x:is>
          <x:t xml:space="preserve">Production-style platform slice</x:t>
        </x:is>
      </x:c>
      <x:c r="G21" s="7" t="inlineStr">
        <x:is>
          <x:t xml:space="preserve">Security, observability, resilience, performance, TypeScript, advanced AWS design trade-offs.</x:t>
        </x:is>
      </x:c>
    </x:row>
    <x:row r="22" s="11" customFormat="1" ht="58" customHeight="1">
      <x:c r="A22" s="9" t="inlineStr">
        <x:is>
          <x:t xml:space="preserve">Weekend template (8 hours total)</x:t>
        </x:is>
      </x:c>
      <x:c r="B22" s="56" t="n"/>
      <x:c r="C22" s="56" t="n"/>
      <x:c r="D22" s="7" t="n"/>
      <x:c r="E22" s="7" t="n">
        <x:v>120</x:v>
      </x:c>
      <x:c r="F22" s="7" t="inlineStr">
        <x:is>
          <x:t xml:space="preserve">Solution-architect portfolio project</x:t>
        </x:is>
      </x:c>
      <x:c r="G22" s="7" t="inlineStr">
        <x:is>
          <x:t xml:space="preserve">Capstone app, architecture deck, runbook, well-architected review, mock presentation.</x:t>
        </x:is>
      </x:c>
    </x:row>
    <x:row r="23">
      <x:c r="A23" s="7" t="n">
        <x:v>1</x:v>
      </x:c>
      <x:c r="B23" s="7" t="inlineStr">
        <x:is>
          <x:t xml:space="preserve">DSA</x:t>
        </x:is>
      </x:c>
      <x:c r="C23" s="7" t="inlineStr">
        <x:is>
          <x:t xml:space="preserve">90 min</x:t>
        </x:is>
      </x:c>
      <x:c r="D23" s="7" t="n"/>
      <x:c r="E23" s="7" t="n"/>
      <x:c r="F23" s="7" t="n"/>
      <x:c r="G23" s="7" t="n"/>
    </x:row>
    <x:row r="24">
      <x:c r="A24" s="7" t="n">
        <x:v>2</x:v>
      </x:c>
      <x:c r="B24" s="7" t="inlineStr">
        <x:is>
          <x:t xml:space="preserve">Break</x:t>
        </x:is>
      </x:c>
      <x:c r="C24" s="7" t="inlineStr">
        <x:is>
          <x:t xml:space="preserve">15 min</x:t>
        </x:is>
      </x:c>
      <x:c r="D24" s="7" t="n"/>
      <x:c r="E24" s="7" t="n"/>
      <x:c r="F24" s="7" t="n"/>
      <x:c r="G24" s="7" t="n"/>
    </x:row>
    <x:row r="25">
      <x:c r="A25" s="7" t="n">
        <x:v>3</x:v>
      </x:c>
      <x:c r="B25" s="7" t="inlineStr">
        <x:is>
          <x:t xml:space="preserve">Java / Spring</x:t>
        </x:is>
      </x:c>
      <x:c r="C25" s="7" t="inlineStr">
        <x:is>
          <x:t xml:space="preserve">75 min</x:t>
        </x:is>
      </x:c>
      <x:c r="D25" s="7" t="n"/>
      <x:c r="E25" s="7" t="n"/>
      <x:c r="F25" s="7" t="n"/>
      <x:c r="G25" s="7" t="n"/>
    </x:row>
    <x:row r="26">
      <x:c r="A26" s="7" t="n">
        <x:v>4</x:v>
      </x:c>
      <x:c r="B26" s="7" t="inlineStr">
        <x:is>
          <x:t xml:space="preserve">Break</x:t>
        </x:is>
      </x:c>
      <x:c r="C26" s="7" t="inlineStr">
        <x:is>
          <x:t xml:space="preserve">15 min</x:t>
        </x:is>
      </x:c>
      <x:c r="D26" s="7" t="n"/>
      <x:c r="E26" s="7" t="n"/>
      <x:c r="F26" s="7" t="n"/>
      <x:c r="G26" s="7" t="n"/>
    </x:row>
    <x:row r="27">
      <x:c r="A27" s="7" t="n">
        <x:v>5</x:v>
      </x:c>
      <x:c r="B27" s="7" t="inlineStr">
        <x:is>
          <x:t xml:space="preserve">AWS / DevOps</x:t>
        </x:is>
      </x:c>
      <x:c r="C27" s="7" t="inlineStr">
        <x:is>
          <x:t xml:space="preserve">90 min</x:t>
        </x:is>
      </x:c>
      <x:c r="D27" s="7" t="n"/>
      <x:c r="E27" s="7" t="n"/>
      <x:c r="F27" s="7" t="n"/>
      <x:c r="G27" s="7" t="n"/>
    </x:row>
    <x:row r="28">
      <x:c r="A28" s="7" t="n">
        <x:v>6</x:v>
      </x:c>
      <x:c r="B28" s="7" t="inlineStr">
        <x:is>
          <x:t xml:space="preserve">Break</x:t>
        </x:is>
      </x:c>
      <x:c r="C28" s="7" t="inlineStr">
        <x:is>
          <x:t xml:space="preserve">20 min</x:t>
        </x:is>
      </x:c>
      <x:c r="D28" s="7" t="n"/>
      <x:c r="E28" s="7" t="n"/>
      <x:c r="F28" s="7" t="n"/>
      <x:c r="G28" s="7" t="n"/>
    </x:row>
    <x:row r="29">
      <x:c r="A29" s="7" t="n">
        <x:v>7</x:v>
      </x:c>
      <x:c r="B29" s="7" t="inlineStr">
        <x:is>
          <x:t xml:space="preserve">React / Frontend</x:t>
        </x:is>
      </x:c>
      <x:c r="C29" s="7" t="inlineStr">
        <x:is>
          <x:t xml:space="preserve">70 min</x:t>
        </x:is>
      </x:c>
      <x:c r="D29" s="7" t="n"/>
      <x:c r="E29" s="7" t="n"/>
      <x:c r="F29" s="7" t="n"/>
      <x:c r="G29" s="7" t="n"/>
    </x:row>
    <x:row r="30">
      <x:c r="A30" s="7" t="n">
        <x:v>8</x:v>
      </x:c>
      <x:c r="B30" s="7" t="inlineStr">
        <x:is>
          <x:t xml:space="preserve">Break</x:t>
        </x:is>
      </x:c>
      <x:c r="C30" s="7" t="inlineStr">
        <x:is>
          <x:t xml:space="preserve">10 min</x:t>
        </x:is>
      </x:c>
      <x:c r="D30" s="7" t="n"/>
      <x:c r="E30" s="7" t="n"/>
      <x:c r="F30" s="7" t="n"/>
      <x:c r="G30" s="7" t="n"/>
    </x:row>
    <x:row r="31">
      <x:c r="A31" s="7" t="n">
        <x:v>9</x:v>
      </x:c>
      <x:c r="B31" s="7" t="inlineStr">
        <x:is>
          <x:t xml:space="preserve">Architecture / project</x:t>
        </x:is>
      </x:c>
      <x:c r="C31" s="7" t="inlineStr">
        <x:is>
          <x:t xml:space="preserve">80 min</x:t>
        </x:is>
      </x:c>
      <x:c r="D31" s="7" t="n"/>
      <x:c r="E31" s="7" t="n"/>
      <x:c r="F31" s="7" t="n"/>
      <x:c r="G31" s="7" t="n"/>
    </x:row>
    <x:row r="32">
      <x:c r="A32" s="7" t="n">
        <x:v>10</x:v>
      </x:c>
      <x:c r="B32" s="7" t="inlineStr">
        <x:is>
          <x:t xml:space="preserve">Review / plan next day</x:t>
        </x:is>
      </x:c>
      <x:c r="C32" s="7" t="inlineStr">
        <x:is>
          <x:t xml:space="preserve">15 min</x:t>
        </x:is>
      </x:c>
      <x:c r="D32" s="7" t="n"/>
      <x:c r="E32" s="7" t="n"/>
      <x:c r="F32" s="7" t="n"/>
      <x:c r="G32" s="7" t="n"/>
    </x:row>
    <x:row r="34">
      <x:c r="A34" s="15" t="inlineStr">
        <x:is>
          <x:t xml:space="preserve">Workbook Navigation</x:t>
        </x:is>
      </x:c>
      <x:c r="B34" s="61" t="n"/>
      <x:c r="C34" s="61" t="n"/>
      <x:c r="D34" s="61" t="n"/>
      <x:c r="E34" s="61" t="n"/>
      <x:c r="F34" s="61" t="n"/>
      <x:c r="G34" s="62" t="n"/>
    </x:row>
    <x:row r="35">
      <x:c r="A35" s="16" t="inlineStr">
        <x:is>
          <x:t xml:space="preserve">Dashboard</x:t>
        </x:is>
      </x:c>
      <x:c r="B35" s="18" t="inlineStr">
        <x:is>
          <x:t xml:space="preserve">Change Start Date, monitor KPIs, and watch the full plan progress at a glance.</x:t>
        </x:is>
      </x:c>
    </x:row>
    <x:row r="36">
      <x:c r="A36" s="16" t="inlineStr">
        <x:is>
          <x:t xml:space="preserve">120-Day Tracker</x:t>
        </x:is>
      </x:c>
      <x:c r="B36" s="18" t="inlineStr">
        <x:is>
          <x:t xml:space="preserve">Daily execution sheet: update Status, Actual Hours, Confidence, Review Needed, Notes, and Next Action.</x:t>
        </x:is>
      </x:c>
    </x:row>
    <x:row r="37">
      <x:c r="A37" s="16" t="inlineStr">
        <x:is>
          <x:t xml:space="preserve">Weekly Scorecard</x:t>
        </x:is>
      </x:c>
      <x:c r="B37" s="18" t="inlineStr">
        <x:is>
          <x:t xml:space="preserve">Weekly roll-up with readiness score, review, risk, and next focus columns.</x:t>
        </x:is>
      </x:c>
    </x:row>
    <x:row r="38">
      <x:c r="A38" s="16" t="inlineStr">
        <x:is>
          <x:t xml:space="preserve">Concepts Tracker</x:t>
        </x:is>
      </x:c>
      <x:c r="B38" s="18" t="inlineStr">
        <x:is>
          <x:t xml:space="preserve">Weekly domain revision map for mastery tracking and spaced review.</x:t>
        </x:is>
      </x:c>
    </x:row>
    <x:row r="39">
      <x:c r="A39" s="16" t="inlineStr">
        <x:is>
          <x:t xml:space="preserve">Capstone Tracker</x:t>
        </x:is>
      </x:c>
      <x:c r="B39" s="18" t="inlineStr">
        <x:is>
          <x:t xml:space="preserve">Architecture artifact tracker that turns the plan into interview-ready evidence.</x:t>
        </x:is>
      </x:c>
    </x:row>
    <x:row r="40">
      <x:c r="A40" s="16" t="inlineStr">
        <x:is>
          <x:t xml:space="preserve">Readiness Scorecard</x:t>
        </x:is>
      </x:c>
      <x:c r="B40" s="18" t="inlineStr">
        <x:is>
          <x:t xml:space="preserve">Day 30 / 60 / 90 / 120 check-ins with score formulas and signals.</x:t>
        </x:is>
      </x:c>
    </x:row>
  </x:sheetData>
  <x:mergeCells>
    <x:mergeCell ref="B4:F4"/>
    <x:mergeCell ref="B6:F6"/>
    <x:mergeCell ref="A1:F1"/>
    <x:mergeCell ref="A34:G34"/>
    <x:mergeCell ref="B3:F3"/>
    <x:mergeCell ref="A22:C22"/>
    <x:mergeCell ref="B5:F5"/>
    <x:mergeCell ref="A9:C9"/>
    <x:mergeCell ref="E17:G17"/>
    <x:mergeCell ref="E9:F9"/>
  </x:mergeCells>
  <x:pageMargins left="0.7" right="0.7" top="0.75" bottom="0.75" header="0.3" footer="0.3"/>
  <x:legacyDrawing xmlns:r="http://schemas.openxmlformats.org/officeDocument/2006/relationships" r:id="R67902e04f62d4d8f"/>
</x:worksheet>
</file>

<file path=xl/worksheets/sheet8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4.5"/>
  <x:cols>
    <x:col min="1" max="1" width="8.54296875" style="11" customWidth="1"/>
    <x:col min="2" max="2" width="10.1796875" style="11" customWidth="1"/>
    <x:col min="3" max="3" width="13.26953125" style="11" customWidth="1"/>
    <x:col min="4" max="4" width="13" style="11" customWidth="1"/>
    <x:col min="5" max="5" width="10.36328125" style="11" customWidth="1"/>
    <x:col min="6" max="6" width="34" style="11" customWidth="1"/>
    <x:col min="7" max="7" width="28" style="11" customWidth="1"/>
    <x:col min="8" max="8" width="32" style="11" customWidth="1"/>
    <x:col min="9" max="9" width="30" style="11" customWidth="1"/>
    <x:col min="10" max="10" width="28" style="11" customWidth="1"/>
    <x:col min="11" max="12" width="34" style="11" customWidth="1"/>
  </x:cols>
  <x:sheetData>
    <x:row r="1">
      <x:c r="A1" s="3" t="inlineStr">
        <x:is>
          <x:t xml:space="preserve">Day</x:t>
        </x:is>
      </x:c>
      <x:c r="B1" s="3" t="inlineStr">
        <x:is>
          <x:t xml:space="preserve">Week</x:t>
        </x:is>
      </x:c>
      <x:c r="C1" s="3" t="inlineStr">
        <x:is>
          <x:t xml:space="preserve">Cycle Day</x:t>
        </x:is>
      </x:c>
      <x:c r="D1" s="3" t="inlineStr">
        <x:is>
          <x:t xml:space="preserve">Day Type</x:t>
        </x:is>
      </x:c>
      <x:c r="E1" s="3" t="inlineStr">
        <x:is>
          <x:t xml:space="preserve">Hours</x:t>
        </x:is>
      </x:c>
      <x:c r="F1" s="3" t="inlineStr">
        <x:is>
          <x:t xml:space="preserve">Weekly Theme</x:t>
        </x:is>
      </x:c>
      <x:c r="G1" s="3" t="inlineStr">
        <x:is>
          <x:t xml:space="preserve">DSA</x:t>
        </x:is>
      </x:c>
      <x:c r="H1" s="3" t="inlineStr">
        <x:is>
          <x:t xml:space="preserve">Java / Spring</x:t>
        </x:is>
      </x:c>
      <x:c r="I1" s="3" t="inlineStr">
        <x:is>
          <x:t xml:space="preserve">AWS / DevOps</x:t>
        </x:is>
      </x:c>
      <x:c r="J1" s="3" t="inlineStr">
        <x:is>
          <x:t xml:space="preserve">React / Frontend</x:t>
        </x:is>
      </x:c>
      <x:c r="K1" s="3" t="inlineStr">
        <x:is>
          <x:t xml:space="preserve">Architecture / Missing Topics</x:t>
        </x:is>
      </x:c>
      <x:c r="L1" s="3" t="inlineStr">
        <x:is>
          <x:t xml:space="preserve">Primary Deliverable</x:t>
        </x:is>
      </x:c>
    </x:row>
    <x:row r="2" s="11" customFormat="1" ht="43.5" customHeight="1">
      <x:c r="A2" s="7" t="n">
        <x:v>1</x:v>
      </x:c>
      <x:c r="B2" s="7" t="n">
        <x:v>1</x:v>
      </x:c>
      <x:c r="C2" s="7" t="inlineStr">
        <x:is>
          <x:t xml:space="preserve">Mon</x:t>
        </x:is>
      </x:c>
      <x:c r="D2" s="7" t="inlineStr">
        <x:is>
          <x:t xml:space="preserve">Weekday</x:t>
        </x:is>
      </x:c>
      <x:c r="E2" s="7" t="n">
        <x:v>5</x:v>
      </x:c>
      <x:c r="F2" s="7" t="inlineStr">
        <x:is>
          <x:t xml:space="preserve">Foundation: algorithm thinking, JVM, AWS account/core infra, React fundamentals, architect basics</x:t>
        </x:is>
      </x:c>
      <x:c r="G2" s="7" t="inlineStr">
        <x:is>
          <x:t xml:space="preserve">Arrays intro + complexity</x:t>
        </x:is>
      </x:c>
      <x:c r="H2" s="7" t="inlineStr">
        <x:is>
          <x:t xml:space="preserve">JVM memory model: heap, stack, metaspace</x:t>
        </x:is>
      </x:c>
      <x:c r="I2" s="7" t="inlineStr">
        <x:is>
          <x:t xml:space="preserve">AWS global infrastructure, account setup, MFA</x:t>
        </x:is>
      </x:c>
      <x:c r="J2" s="7" t="inlineStr">
        <x:is>
          <x:t xml:space="preserve">React mental model, setup, components</x:t>
        </x:is>
      </x:c>
      <x:c r="K2" s="7" t="inlineStr">
        <x:is>
          <x:t xml:space="preserve">Role of a solution architect; Well-Architected pillars</x:t>
        </x:is>
      </x:c>
      <x:c r="L2" s="7" t="inlineStr">
        <x:is>
          <x:t xml:space="preserve">Create study repo, notes template, AWS account, local Java/Node setup</x:t>
        </x:is>
      </x:c>
    </x:row>
    <x:row r="3" s="11" customFormat="1" ht="43.5" customHeight="1">
      <x:c r="A3" s="7" t="n">
        <x:v>2</x:v>
      </x:c>
      <x:c r="B3" s="7" t="n">
        <x:v>1</x:v>
      </x:c>
      <x:c r="C3" s="7" t="inlineStr">
        <x:is>
          <x:t xml:space="preserve">Tue</x:t>
        </x:is>
      </x:c>
      <x:c r="D3" s="7" t="inlineStr">
        <x:is>
          <x:t xml:space="preserve">Weekday</x:t>
        </x:is>
      </x:c>
      <x:c r="E3" s="7" t="n">
        <x:v>5</x:v>
      </x:c>
      <x:c r="F3" s="7" t="inlineStr">
        <x:is>
          <x:t xml:space="preserve">Foundation: algorithm thinking, JVM, AWS account/core infra, React fundamentals, architect basics</x:t>
        </x:is>
      </x:c>
      <x:c r="G3" s="7" t="inlineStr">
        <x:is>
          <x:t xml:space="preserve">Hashing patterns</x:t>
        </x:is>
      </x:c>
      <x:c r="H3" s="7" t="inlineStr">
        <x:is>
          <x:t xml:space="preserve">Class loading, JIT, GC overview</x:t>
        </x:is>
      </x:c>
      <x:c r="I3" s="7" t="inlineStr">
        <x:is>
          <x:t xml:space="preserve">IAM users, groups, roles, policies</x:t>
        </x:is>
      </x:c>
      <x:c r="J3" s="7" t="inlineStr">
        <x:is>
          <x:t xml:space="preserve">JSX, props, state</x:t>
        </x:is>
      </x:c>
      <x:c r="K3" s="7" t="inlineStr">
        <x:is>
          <x:t xml:space="preserve">Functional vs non-functional requirements</x:t>
        </x:is>
      </x:c>
      <x:c r="L3" s="7" t="inlineStr">
        <x:is>
          <x:t xml:space="preserve">Write one-page notes for IAM and NFRs</x:t>
        </x:is>
      </x:c>
    </x:row>
    <x:row r="4" s="11" customFormat="1" ht="43.5" customHeight="1">
      <x:c r="A4" s="7" t="n">
        <x:v>3</x:v>
      </x:c>
      <x:c r="B4" s="7" t="n">
        <x:v>1</x:v>
      </x:c>
      <x:c r="C4" s="7" t="inlineStr">
        <x:is>
          <x:t xml:space="preserve">Wed</x:t>
        </x:is>
      </x:c>
      <x:c r="D4" s="7" t="inlineStr">
        <x:is>
          <x:t xml:space="preserve">Weekday</x:t>
        </x:is>
      </x:c>
      <x:c r="E4" s="7" t="n">
        <x:v>5</x:v>
      </x:c>
      <x:c r="F4" s="7" t="inlineStr">
        <x:is>
          <x:t xml:space="preserve">Foundation: algorithm thinking, JVM, AWS account/core infra, React fundamentals, architect basics</x:t>
        </x:is>
      </x:c>
      <x:c r="G4" s="7" t="inlineStr">
        <x:is>
          <x:t xml:space="preserve">Prefix sum</x:t>
        </x:is>
      </x:c>
      <x:c r="H4" s="7" t="inlineStr">
        <x:is>
          <x:t xml:space="preserve">G1 GC and memory troubleshooting basics</x:t>
        </x:is>
      </x:c>
      <x:c r="I4" s="7" t="inlineStr">
        <x:is>
          <x:t xml:space="preserve">AWS CLI, billing alerts, budgets</x:t>
        </x:is>
      </x:c>
      <x:c r="J4" s="7" t="inlineStr">
        <x:is>
          <x:t xml:space="preserve">useState/useEffect basics</x:t>
        </x:is>
      </x:c>
      <x:c r="K4" s="7" t="inlineStr">
        <x:is>
          <x:t xml:space="preserve">Latency vs throughput vs scalability</x:t>
        </x:is>
      </x:c>
      <x:c r="L4" s="7" t="inlineStr">
        <x:is>
          <x:t xml:space="preserve">Budget alarm and first React mini-screen</x:t>
        </x:is>
      </x:c>
    </x:row>
    <x:row r="5" s="11" customFormat="1" ht="43.5" customHeight="1">
      <x:c r="A5" s="7" t="n">
        <x:v>4</x:v>
      </x:c>
      <x:c r="B5" s="7" t="n">
        <x:v>1</x:v>
      </x:c>
      <x:c r="C5" s="7" t="inlineStr">
        <x:is>
          <x:t xml:space="preserve">Thu</x:t>
        </x:is>
      </x:c>
      <x:c r="D5" s="7" t="inlineStr">
        <x:is>
          <x:t xml:space="preserve">Weekday</x:t>
        </x:is>
      </x:c>
      <x:c r="E5" s="7" t="n">
        <x:v>5</x:v>
      </x:c>
      <x:c r="F5" s="7" t="inlineStr">
        <x:is>
          <x:t xml:space="preserve">Foundation: algorithm thinking, JVM, AWS account/core infra, React fundamentals, architect basics</x:t>
        </x:is>
      </x:c>
      <x:c r="G5" s="7" t="inlineStr">
        <x:is>
          <x:t xml:space="preserve">Kadane + product array except self</x:t>
        </x:is>
      </x:c>
      <x:c r="H5" s="7" t="inlineStr">
        <x:is>
          <x:t xml:space="preserve">Collections overview and ArrayList vs LinkedList</x:t>
        </x:is>
      </x:c>
      <x:c r="I5" s="7" t="inlineStr">
        <x:is>
          <x:t xml:space="preserve">EC2 basics, AMI, instance families</x:t>
        </x:is>
      </x:c>
      <x:c r="J5" s="7" t="inlineStr">
        <x:is>
          <x:t xml:space="preserve">Lists, conditional rendering, events</x:t>
        </x:is>
      </x:c>
      <x:c r="K5" s="7" t="inlineStr">
        <x:is>
          <x:t xml:space="preserve">CAP theorem and distributed-system basics</x:t>
        </x:is>
      </x:c>
      <x:c r="L5" s="7" t="inlineStr">
        <x:is>
          <x:t xml:space="preserve">Launch EC2 and run hello-world app</x:t>
        </x:is>
      </x:c>
    </x:row>
    <x:row r="6" s="11" customFormat="1" ht="43.5" customHeight="1">
      <x:c r="A6" s="7" t="n">
        <x:v>5</x:v>
      </x:c>
      <x:c r="B6" s="7" t="n">
        <x:v>1</x:v>
      </x:c>
      <x:c r="C6" s="7" t="inlineStr">
        <x:is>
          <x:t xml:space="preserve">Fri</x:t>
        </x:is>
      </x:c>
      <x:c r="D6" s="7" t="inlineStr">
        <x:is>
          <x:t xml:space="preserve">Weekday</x:t>
        </x:is>
      </x:c>
      <x:c r="E6" s="7" t="n">
        <x:v>5</x:v>
      </x:c>
      <x:c r="F6" s="7" t="inlineStr">
        <x:is>
          <x:t xml:space="preserve">Foundation: algorithm thinking, JVM, AWS account/core infra, React fundamentals, architect basics</x:t>
        </x:is>
      </x:c>
      <x:c r="G6" s="7" t="inlineStr">
        <x:is>
          <x:t xml:space="preserve">Best time to buy/sell + move zeroes</x:t>
        </x:is>
      </x:c>
      <x:c r="H6" s="7" t="inlineStr">
        <x:is>
          <x:t xml:space="preserve">HashMap internals and collision handling</x:t>
        </x:is>
      </x:c>
      <x:c r="I6" s="7" t="inlineStr">
        <x:is>
          <x:t xml:space="preserve">Security groups, key pairs, SSH</x:t>
        </x:is>
      </x:c>
      <x:c r="J6" s="7" t="inlineStr">
        <x:is>
          <x:t xml:space="preserve">Reusable components and props flow</x:t>
        </x:is>
      </x:c>
      <x:c r="K6" s="7" t="inlineStr">
        <x:is>
          <x:t xml:space="preserve">Monolith vs modular monolith</x:t>
        </x:is>
      </x:c>
      <x:c r="L6" s="7" t="inlineStr">
        <x:is>
          <x:t xml:space="preserve">Deploy simple Java app on EC2</x:t>
        </x:is>
      </x:c>
    </x:row>
    <x:row r="7" s="11" customFormat="1" ht="43.5" customHeight="1">
      <x:c r="A7" s="4" t="n">
        <x:v>6</x:v>
      </x:c>
      <x:c r="B7" s="4" t="n">
        <x:v>1</x:v>
      </x:c>
      <x:c r="C7" s="4" t="inlineStr">
        <x:is>
          <x:t xml:space="preserve">Sat</x:t>
        </x:is>
      </x:c>
      <x:c r="D7" s="4" t="inlineStr">
        <x:is>
          <x:t xml:space="preserve">Weekend</x:t>
        </x:is>
      </x:c>
      <x:c r="E7" s="4" t="n">
        <x:v>8</x:v>
      </x:c>
      <x:c r="F7" s="4" t="inlineStr">
        <x:is>
          <x:t xml:space="preserve">Foundation: algorithm thinking, JVM, AWS account/core infra, React fundamentals, architect basics</x:t>
        </x:is>
      </x:c>
      <x:c r="G7" s="4" t="inlineStr">
        <x:is>
          <x:t xml:space="preserve">Weekend drill: 4 array/hash problems</x:t>
        </x:is>
      </x:c>
      <x:c r="H7" s="4" t="inlineStr">
        <x:is>
          <x:t xml:space="preserve">Java profiling intro with VisualVM/JFR</x:t>
        </x:is>
      </x:c>
      <x:c r="I7" s="4" t="inlineStr">
        <x:is>
          <x:t xml:space="preserve">S3 basics: buckets, policies, object upload</x:t>
        </x:is>
      </x:c>
      <x:c r="J7" s="4" t="inlineStr">
        <x:is>
          <x:t xml:space="preserve">Mini CRUD UI</x:t>
        </x:is>
      </x:c>
      <x:c r="K7" s="4" t="inlineStr">
        <x:is>
          <x:t xml:space="preserve">Sketch 3-tier architecture</x:t>
        </x:is>
      </x:c>
      <x:c r="L7" s="4" t="inlineStr">
        <x:is>
          <x:t xml:space="preserve">Push week-1 code and architecture sketch to Git</x:t>
        </x:is>
      </x:c>
    </x:row>
    <x:row r="8" s="11" customFormat="1" ht="43.5" customHeight="1">
      <x:c r="A8" s="4" t="n">
        <x:v>7</x:v>
      </x:c>
      <x:c r="B8" s="4" t="n">
        <x:v>1</x:v>
      </x:c>
      <x:c r="C8" s="4" t="inlineStr">
        <x:is>
          <x:t xml:space="preserve">Sun</x:t>
        </x:is>
      </x:c>
      <x:c r="D8" s="4" t="inlineStr">
        <x:is>
          <x:t xml:space="preserve">Weekend</x:t>
        </x:is>
      </x:c>
      <x:c r="E8" s="4" t="n">
        <x:v>8</x:v>
      </x:c>
      <x:c r="F8" s="4" t="inlineStr">
        <x:is>
          <x:t xml:space="preserve">Foundation: algorithm thinking, JVM, AWS account/core infra, React fundamentals, architect basics</x:t>
        </x:is>
      </x:c>
      <x:c r="G8" s="4" t="inlineStr">
        <x:is>
          <x:t xml:space="preserve">Weekly review + timed array set</x:t>
        </x:is>
      </x:c>
      <x:c r="H8" s="4" t="inlineStr">
        <x:is>
          <x:t xml:space="preserve">Build Java CLI utility for file parsing</x:t>
        </x:is>
      </x:c>
      <x:c r="I8" s="4" t="inlineStr">
        <x:is>
          <x:t xml:space="preserve">Host a static asset on S3</x:t>
        </x:is>
      </x:c>
      <x:c r="J8" s="4" t="inlineStr">
        <x:is>
          <x:t xml:space="preserve">Forms basics</x:t>
        </x:is>
      </x:c>
      <x:c r="K8" s="4" t="inlineStr">
        <x:is>
          <x:t xml:space="preserve">Weekly retrospective and gap list</x:t>
        </x:is>
      </x:c>
      <x:c r="L8" s="4" t="inlineStr">
        <x:is>
          <x:t xml:space="preserve">Write week-1 summary and weak-topic list</x:t>
        </x:is>
      </x:c>
    </x:row>
    <x:row r="9" s="11" customFormat="1" ht="29" customHeight="1">
      <x:c r="A9" s="7" t="n">
        <x:v>8</x:v>
      </x:c>
      <x:c r="B9" s="7" t="n">
        <x:v>2</x:v>
      </x:c>
      <x:c r="C9" s="7" t="inlineStr">
        <x:is>
          <x:t xml:space="preserve">Mon</x:t>
        </x:is>
      </x:c>
      <x:c r="D9" s="7" t="inlineStr">
        <x:is>
          <x:t xml:space="preserve">Weekday</x:t>
        </x:is>
      </x:c>
      <x:c r="E9" s="7" t="n">
        <x:v>5</x:v>
      </x:c>
      <x:c r="F9" s="7" t="inlineStr">
        <x:is>
          <x:t xml:space="preserve">Sliding window, generics/streams, VPC basics, routing/forms, API design</x:t>
        </x:is>
      </x:c>
      <x:c r="G9" s="7" t="inlineStr">
        <x:is>
          <x:t xml:space="preserve">Fixed sliding window</x:t>
        </x:is>
      </x:c>
      <x:c r="H9" s="7" t="inlineStr">
        <x:is>
          <x:t xml:space="preserve">Generics and type safety</x:t>
        </x:is>
      </x:c>
      <x:c r="I9" s="7" t="inlineStr">
        <x:is>
          <x:t xml:space="preserve">VPC, CIDR, public/private subnets</x:t>
        </x:is>
      </x:c>
      <x:c r="J9" s="7" t="inlineStr">
        <x:is>
          <x:t xml:space="preserve">React Router basics</x:t>
        </x:is>
      </x:c>
      <x:c r="K9" s="7" t="inlineStr">
        <x:is>
          <x:t xml:space="preserve">API resource modeling</x:t>
        </x:is>
      </x:c>
      <x:c r="L9" s="7" t="inlineStr">
        <x:is>
          <x:t xml:space="preserve">Build VPC with public/private subnet diagram</x:t>
        </x:is>
      </x:c>
    </x:row>
    <x:row r="10" s="11" customFormat="1" ht="29" customHeight="1">
      <x:c r="A10" s="7" t="n">
        <x:v>9</x:v>
      </x:c>
      <x:c r="B10" s="7" t="n">
        <x:v>2</x:v>
      </x:c>
      <x:c r="C10" s="7" t="inlineStr">
        <x:is>
          <x:t xml:space="preserve">Tue</x:t>
        </x:is>
      </x:c>
      <x:c r="D10" s="7" t="inlineStr">
        <x:is>
          <x:t xml:space="preserve">Weekday</x:t>
        </x:is>
      </x:c>
      <x:c r="E10" s="7" t="n">
        <x:v>5</x:v>
      </x:c>
      <x:c r="F10" s="7" t="inlineStr">
        <x:is>
          <x:t xml:space="preserve">Sliding window, generics/streams, VPC basics, routing/forms, API design</x:t>
        </x:is>
      </x:c>
      <x:c r="G10" s="7" t="inlineStr">
        <x:is>
          <x:t xml:space="preserve">Variable sliding window</x:t>
        </x:is>
      </x:c>
      <x:c r="H10" s="7" t="inlineStr">
        <x:is>
          <x:t xml:space="preserve">Functional interfaces and lambdas</x:t>
        </x:is>
      </x:c>
      <x:c r="I10" s="7" t="inlineStr">
        <x:is>
          <x:t xml:space="preserve">Route tables, internet gateway, NAT gateway</x:t>
        </x:is>
      </x:c>
      <x:c r="J10" s="7" t="inlineStr">
        <x:is>
          <x:t xml:space="preserve">Route params and nested routes</x:t>
        </x:is>
      </x:c>
      <x:c r="K10" s="7" t="inlineStr">
        <x:is>
          <x:t xml:space="preserve">REST constraints and idempotency</x:t>
        </x:is>
      </x:c>
      <x:c r="L10" s="7" t="inlineStr">
        <x:is>
          <x:t xml:space="preserve">Router-based mini app</x:t>
        </x:is>
      </x:c>
    </x:row>
    <x:row r="11" s="11" customFormat="1" ht="29" customHeight="1">
      <x:c r="A11" s="7" t="n">
        <x:v>10</x:v>
      </x:c>
      <x:c r="B11" s="7" t="n">
        <x:v>2</x:v>
      </x:c>
      <x:c r="C11" s="7" t="inlineStr">
        <x:is>
          <x:t xml:space="preserve">Wed</x:t>
        </x:is>
      </x:c>
      <x:c r="D11" s="7" t="inlineStr">
        <x:is>
          <x:t xml:space="preserve">Weekday</x:t>
        </x:is>
      </x:c>
      <x:c r="E11" s="7" t="n">
        <x:v>5</x:v>
      </x:c>
      <x:c r="F11" s="7" t="inlineStr">
        <x:is>
          <x:t xml:space="preserve">Sliding window, generics/streams, VPC basics, routing/forms, API design</x:t>
        </x:is>
      </x:c>
      <x:c r="G11" s="7" t="inlineStr">
        <x:is>
          <x:t xml:space="preserve">Longest substring without repeating</x:t>
        </x:is>
      </x:c>
      <x:c r="H11" s="7" t="inlineStr">
        <x:is>
          <x:t xml:space="preserve">Streams: map/filter/reduce</x:t>
        </x:is>
      </x:c>
      <x:c r="I11" s="7" t="inlineStr">
        <x:is>
          <x:t xml:space="preserve">NACL vs security groups</x:t>
        </x:is>
      </x:c>
      <x:c r="J11" s="7" t="inlineStr">
        <x:is>
          <x:t xml:space="preserve">Controlled forms</x:t>
        </x:is>
      </x:c>
      <x:c r="K11" s="7" t="inlineStr">
        <x:is>
          <x:t xml:space="preserve">HTTP methods, status codes, versioning</x:t>
        </x:is>
      </x:c>
      <x:c r="L11" s="7" t="inlineStr">
        <x:is>
          <x:t xml:space="preserve">Document one REST API contract</x:t>
        </x:is>
      </x:c>
    </x:row>
    <x:row r="12" s="11" customFormat="1" ht="29" customHeight="1">
      <x:c r="A12" s="7" t="n">
        <x:v>11</x:v>
      </x:c>
      <x:c r="B12" s="7" t="n">
        <x:v>2</x:v>
      </x:c>
      <x:c r="C12" s="7" t="inlineStr">
        <x:is>
          <x:t xml:space="preserve">Thu</x:t>
        </x:is>
      </x:c>
      <x:c r="D12" s="7" t="inlineStr">
        <x:is>
          <x:t xml:space="preserve">Weekday</x:t>
        </x:is>
      </x:c>
      <x:c r="E12" s="7" t="n">
        <x:v>5</x:v>
      </x:c>
      <x:c r="F12" s="7" t="inlineStr">
        <x:is>
          <x:t xml:space="preserve">Sliding window, generics/streams, VPC basics, routing/forms, API design</x:t>
        </x:is>
      </x:c>
      <x:c r="G12" s="7" t="inlineStr">
        <x:is>
          <x:t xml:space="preserve">Minimum window substring</x:t>
        </x:is>
      </x:c>
      <x:c r="H12" s="7" t="inlineStr">
        <x:is>
          <x:t xml:space="preserve">Optional and records</x:t>
        </x:is>
      </x:c>
      <x:c r="I12" s="7" t="inlineStr">
        <x:is>
          <x:t xml:space="preserve">Hands-on VPC lab</x:t>
        </x:is>
      </x:c>
      <x:c r="J12" s="7" t="inlineStr">
        <x:is>
          <x:t xml:space="preserve">Form validation patterns</x:t>
        </x:is>
      </x:c>
      <x:c r="K12" s="7" t="inlineStr">
        <x:is>
          <x:t xml:space="preserve">Pagination/filter/sort design</x:t>
        </x:is>
      </x:c>
      <x:c r="L12" s="7" t="inlineStr">
        <x:is>
          <x:t xml:space="preserve">Working VPC + notes</x:t>
        </x:is>
      </x:c>
    </x:row>
    <x:row r="13" s="11" customFormat="1" ht="29" customHeight="1">
      <x:c r="A13" s="7" t="n">
        <x:v>12</x:v>
      </x:c>
      <x:c r="B13" s="7" t="n">
        <x:v>2</x:v>
      </x:c>
      <x:c r="C13" s="7" t="inlineStr">
        <x:is>
          <x:t xml:space="preserve">Fri</x:t>
        </x:is>
      </x:c>
      <x:c r="D13" s="7" t="inlineStr">
        <x:is>
          <x:t xml:space="preserve">Weekday</x:t>
        </x:is>
      </x:c>
      <x:c r="E13" s="7" t="n">
        <x:v>5</x:v>
      </x:c>
      <x:c r="F13" s="7" t="inlineStr">
        <x:is>
          <x:t xml:space="preserve">Sliding window, generics/streams, VPC basics, routing/forms, API design</x:t>
        </x:is>
      </x:c>
      <x:c r="G13" s="7" t="inlineStr">
        <x:is>
          <x:t xml:space="preserve">Character replacement / permutation in string</x:t>
        </x:is>
      </x:c>
      <x:c r="H13" s="7" t="inlineStr">
        <x:is>
          <x:t xml:space="preserve">Exception handling and logging basics</x:t>
        </x:is>
      </x:c>
      <x:c r="I13" s="7" t="inlineStr">
        <x:is>
          <x:t xml:space="preserve">EC2 inside VPC + bastion or SSM concept</x:t>
        </x:is>
      </x:c>
      <x:c r="J13" s="7" t="inlineStr">
        <x:is>
          <x:t xml:space="preserve">Custom hooks</x:t>
        </x:is>
      </x:c>
      <x:c r="K13" s="7" t="inlineStr">
        <x:is>
          <x:t xml:space="preserve">Authentication basics and session vs token</x:t>
        </x:is>
      </x:c>
      <x:c r="L13" s="7" t="inlineStr">
        <x:is>
          <x:t xml:space="preserve">Hook for form state + API layer notes</x:t>
        </x:is>
      </x:c>
    </x:row>
    <x:row r="14" s="11" customFormat="1" ht="29" customHeight="1">
      <x:c r="A14" s="4" t="n">
        <x:v>13</x:v>
      </x:c>
      <x:c r="B14" s="4" t="n">
        <x:v>2</x:v>
      </x:c>
      <x:c r="C14" s="4" t="inlineStr">
        <x:is>
          <x:t xml:space="preserve">Sat</x:t>
        </x:is>
      </x:c>
      <x:c r="D14" s="4" t="inlineStr">
        <x:is>
          <x:t xml:space="preserve">Weekend</x:t>
        </x:is>
      </x:c>
      <x:c r="E14" s="4" t="n">
        <x:v>8</x:v>
      </x:c>
      <x:c r="F14" s="4" t="inlineStr">
        <x:is>
          <x:t xml:space="preserve">Sliding window, generics/streams, VPC basics, routing/forms, API design</x:t>
        </x:is>
      </x:c>
      <x:c r="G14" s="4" t="inlineStr">
        <x:is>
          <x:t xml:space="preserve">Weekend drill: 4 sliding-window problems</x:t>
        </x:is>
      </x:c>
      <x:c r="H14" s="4" t="inlineStr">
        <x:is>
          <x:t xml:space="preserve">Streams-based Java utility</x:t>
        </x:is>
      </x:c>
      <x:c r="I14" s="4" t="inlineStr">
        <x:is>
          <x:t xml:space="preserve">VPC end-to-end lab</x:t>
        </x:is>
      </x:c>
      <x:c r="J14" s="4" t="inlineStr">
        <x:is>
          <x:t xml:space="preserve">Router + forms mini app</x:t>
        </x:is>
      </x:c>
      <x:c r="K14" s="4" t="inlineStr">
        <x:is>
          <x:t xml:space="preserve">Architecture review: API design and auth choices</x:t>
        </x:is>
      </x:c>
      <x:c r="L14" s="4" t="inlineStr">
        <x:is>
          <x:t xml:space="preserve">Produce a short design note for a CRUD API</x:t>
        </x:is>
      </x:c>
    </x:row>
    <x:row r="15" s="11" customFormat="1" ht="29" customHeight="1">
      <x:c r="A15" s="4" t="n">
        <x:v>14</x:v>
      </x:c>
      <x:c r="B15" s="4" t="n">
        <x:v>2</x:v>
      </x:c>
      <x:c r="C15" s="4" t="inlineStr">
        <x:is>
          <x:t xml:space="preserve">Sun</x:t>
        </x:is>
      </x:c>
      <x:c r="D15" s="4" t="inlineStr">
        <x:is>
          <x:t xml:space="preserve">Weekend</x:t>
        </x:is>
      </x:c>
      <x:c r="E15" s="4" t="n">
        <x:v>8</x:v>
      </x:c>
      <x:c r="F15" s="4" t="inlineStr">
        <x:is>
          <x:t xml:space="preserve">Sliding window, generics/streams, VPC basics, routing/forms, API design</x:t>
        </x:is>
      </x:c>
      <x:c r="G15" s="4" t="inlineStr">
        <x:is>
          <x:t xml:space="preserve">Weekly review + timed mixed set</x:t>
        </x:is>
      </x:c>
      <x:c r="H15" s="4" t="inlineStr">
        <x:is>
          <x:t xml:space="preserve">Refactor with records/Optional</x:t>
        </x:is>
      </x:c>
      <x:c r="I15" s="4" t="inlineStr">
        <x:is>
          <x:t xml:space="preserve">Review IAM/VPC</x:t>
        </x:is>
      </x:c>
      <x:c r="J15" s="4" t="inlineStr">
        <x:is>
          <x:t xml:space="preserve">React refactor day</x:t>
        </x:is>
      </x:c>
      <x:c r="K15" s="4" t="inlineStr">
        <x:is>
          <x:t xml:space="preserve">Retrospective</x:t>
        </x:is>
      </x:c>
      <x:c r="L15" s="4" t="inlineStr">
        <x:is>
          <x:t xml:space="preserve">Update cheatsheets</x:t>
        </x:is>
      </x:c>
    </x:row>
    <x:row r="16" s="11" customFormat="1" ht="43.5" customHeight="1">
      <x:c r="A16" s="7" t="n">
        <x:v>15</x:v>
      </x:c>
      <x:c r="B16" s="7" t="n">
        <x:v>3</x:v>
      </x:c>
      <x:c r="C16" s="7" t="inlineStr">
        <x:is>
          <x:t xml:space="preserve">Mon</x:t>
        </x:is>
      </x:c>
      <x:c r="D16" s="7" t="inlineStr">
        <x:is>
          <x:t xml:space="preserve">Weekday</x:t>
        </x:is>
      </x:c>
      <x:c r="E16" s="7" t="n">
        <x:v>5</x:v>
      </x:c>
      <x:c r="F16" s="7" t="inlineStr">
        <x:is>
          <x:t xml:space="preserve">Two pointers/strings, concurrency, storage/RDS, state management, caching/data modeling</x:t>
        </x:is>
      </x:c>
      <x:c r="G16" s="7" t="inlineStr">
        <x:is>
          <x:t xml:space="preserve">Two pointers intro + valid palindrome</x:t>
        </x:is>
      </x:c>
      <x:c r="H16" s="7" t="inlineStr">
        <x:is>
          <x:t xml:space="preserve">Threads vs runnables</x:t>
        </x:is>
      </x:c>
      <x:c r="I16" s="7" t="inlineStr">
        <x:is>
          <x:t xml:space="preserve">S3 versioning, lifecycle, storage classes</x:t>
        </x:is>
      </x:c>
      <x:c r="J16" s="7" t="inlineStr">
        <x:is>
          <x:t xml:space="preserve">Context API</x:t>
        </x:is>
      </x:c>
      <x:c r="K16" s="7" t="inlineStr">
        <x:is>
          <x:t xml:space="preserve">Caching basics and cache-aside</x:t>
        </x:is>
      </x:c>
      <x:c r="L16" s="7" t="inlineStr">
        <x:is>
          <x:t xml:space="preserve">Lifecycle policy and Context demo</x:t>
        </x:is>
      </x:c>
    </x:row>
    <x:row r="17" s="11" customFormat="1" ht="43.5" customHeight="1">
      <x:c r="A17" s="7" t="n">
        <x:v>16</x:v>
      </x:c>
      <x:c r="B17" s="7" t="n">
        <x:v>3</x:v>
      </x:c>
      <x:c r="C17" s="7" t="inlineStr">
        <x:is>
          <x:t xml:space="preserve">Tue</x:t>
        </x:is>
      </x:c>
      <x:c r="D17" s="7" t="inlineStr">
        <x:is>
          <x:t xml:space="preserve">Weekday</x:t>
        </x:is>
      </x:c>
      <x:c r="E17" s="7" t="n">
        <x:v>5</x:v>
      </x:c>
      <x:c r="F17" s="7" t="inlineStr">
        <x:is>
          <x:t xml:space="preserve">Two pointers/strings, concurrency, storage/RDS, state management, caching/data modeling</x:t>
        </x:is>
      </x:c>
      <x:c r="G17" s="7" t="inlineStr">
        <x:is>
          <x:t xml:space="preserve">Container with most water / 3Sum pattern</x:t>
        </x:is>
      </x:c>
      <x:c r="H17" s="7" t="inlineStr">
        <x:is>
          <x:t xml:space="preserve">Thread lifecycle, synchronized, locks</x:t>
        </x:is>
      </x:c>
      <x:c r="I17" s="7" t="inlineStr">
        <x:is>
          <x:t xml:space="preserve">EBS volumes and snapshots</x:t>
        </x:is>
      </x:c>
      <x:c r="J17" s="7" t="inlineStr">
        <x:is>
          <x:t xml:space="preserve">useReducer</x:t>
        </x:is>
      </x:c>
      <x:c r="K17" s="7" t="inlineStr">
        <x:is>
          <x:t xml:space="preserve">Write-through vs write-back cache</x:t>
        </x:is>
      </x:c>
      <x:c r="L17" s="7" t="inlineStr">
        <x:is>
          <x:t xml:space="preserve">Notes on storage choices</x:t>
        </x:is>
      </x:c>
    </x:row>
    <x:row r="18" s="11" customFormat="1" ht="43.5" customHeight="1">
      <x:c r="A18" s="7" t="n">
        <x:v>17</x:v>
      </x:c>
      <x:c r="B18" s="7" t="n">
        <x:v>3</x:v>
      </x:c>
      <x:c r="C18" s="7" t="inlineStr">
        <x:is>
          <x:t xml:space="preserve">Wed</x:t>
        </x:is>
      </x:c>
      <x:c r="D18" s="7" t="inlineStr">
        <x:is>
          <x:t xml:space="preserve">Weekday</x:t>
        </x:is>
      </x:c>
      <x:c r="E18" s="7" t="n">
        <x:v>5</x:v>
      </x:c>
      <x:c r="F18" s="7" t="inlineStr">
        <x:is>
          <x:t xml:space="preserve">Two pointers/strings, concurrency, storage/RDS, state management, caching/data modeling</x:t>
        </x:is>
      </x:c>
      <x:c r="G18" s="7" t="inlineStr">
        <x:is>
          <x:t xml:space="preserve">Fast/slow pointers</x:t>
        </x:is>
      </x:c>
      <x:c r="H18" s="7" t="inlineStr">
        <x:is>
          <x:t xml:space="preserve">volatile, race conditions</x:t>
        </x:is>
      </x:c>
      <x:c r="I18" s="7" t="inlineStr">
        <x:is>
          <x:t xml:space="preserve">EFS basics and use cases</x:t>
        </x:is>
      </x:c>
      <x:c r="J18" s="7" t="inlineStr">
        <x:is>
          <x:t xml:space="preserve">Redux basics</x:t>
        </x:is>
      </x:c>
      <x:c r="K18" s="7" t="inlineStr">
        <x:is>
          <x:t xml:space="preserve">SQL vs NoSQL decision factors</x:t>
        </x:is>
      </x:c>
      <x:c r="L18" s="7" t="inlineStr">
        <x:is>
          <x:t xml:space="preserve">Redux starter app</x:t>
        </x:is>
      </x:c>
    </x:row>
    <x:row r="19" s="11" customFormat="1" ht="43.5" customHeight="1">
      <x:c r="A19" s="7" t="n">
        <x:v>18</x:v>
      </x:c>
      <x:c r="B19" s="7" t="n">
        <x:v>3</x:v>
      </x:c>
      <x:c r="C19" s="7" t="inlineStr">
        <x:is>
          <x:t xml:space="preserve">Thu</x:t>
        </x:is>
      </x:c>
      <x:c r="D19" s="7" t="inlineStr">
        <x:is>
          <x:t xml:space="preserve">Weekday</x:t>
        </x:is>
      </x:c>
      <x:c r="E19" s="7" t="n">
        <x:v>5</x:v>
      </x:c>
      <x:c r="F19" s="7" t="inlineStr">
        <x:is>
          <x:t xml:space="preserve">Two pointers/strings, concurrency, storage/RDS, state management, caching/data modeling</x:t>
        </x:is>
      </x:c>
      <x:c r="G19" s="7" t="inlineStr">
        <x:is>
          <x:t xml:space="preserve">String frequency/anagram/grouping patterns</x:t>
        </x:is>
      </x:c>
      <x:c r="H19" s="7" t="inlineStr">
        <x:is>
          <x:t xml:space="preserve">ExecutorService and Future</x:t>
        </x:is>
      </x:c>
      <x:c r="I19" s="7" t="inlineStr">
        <x:is>
          <x:t xml:space="preserve">RDS basics, engines, backups</x:t>
        </x:is>
      </x:c>
      <x:c r="J19" s="7" t="inlineStr">
        <x:is>
          <x:t xml:space="preserve">Redux Toolkit</x:t>
        </x:is>
      </x:c>
      <x:c r="K19" s="7" t="inlineStr">
        <x:is>
          <x:t xml:space="preserve">ER modeling and normalization</x:t>
        </x:is>
      </x:c>
      <x:c r="L19" s="7" t="inlineStr">
        <x:is>
          <x:t xml:space="preserve">Provision RDS and connect from app</x:t>
        </x:is>
      </x:c>
    </x:row>
    <x:row r="20" s="11" customFormat="1" ht="43.5" customHeight="1">
      <x:c r="A20" s="7" t="n">
        <x:v>19</x:v>
      </x:c>
      <x:c r="B20" s="7" t="n">
        <x:v>3</x:v>
      </x:c>
      <x:c r="C20" s="7" t="inlineStr">
        <x:is>
          <x:t xml:space="preserve">Fri</x:t>
        </x:is>
      </x:c>
      <x:c r="D20" s="7" t="inlineStr">
        <x:is>
          <x:t xml:space="preserve">Weekday</x:t>
        </x:is>
      </x:c>
      <x:c r="E20" s="7" t="n">
        <x:v>5</x:v>
      </x:c>
      <x:c r="F20" s="7" t="inlineStr">
        <x:is>
          <x:t xml:space="preserve">Two pointers/strings, concurrency, storage/RDS, state management, caching/data modeling</x:t>
        </x:is>
      </x:c>
      <x:c r="G20" s="7" t="inlineStr">
        <x:is>
          <x:t xml:space="preserve">Longest palindromic substring / string manipulation</x:t>
        </x:is>
      </x:c>
      <x:c r="H20" s="7" t="inlineStr">
        <x:is>
          <x:t xml:space="preserve">CompletableFuture intro</x:t>
        </x:is>
      </x:c>
      <x:c r="I20" s="7" t="inlineStr">
        <x:is>
          <x:t xml:space="preserve">Read replicas and multi-AZ concept</x:t>
        </x:is>
      </x:c>
      <x:c r="J20" s="7" t="inlineStr">
        <x:is>
          <x:t xml:space="preserve">Async thunks or RTK Query</x:t>
        </x:is>
      </x:c>
      <x:c r="K20" s="7" t="inlineStr">
        <x:is>
          <x:t xml:space="preserve">Indexes and query design basics</x:t>
        </x:is>
      </x:c>
      <x:c r="L20" s="7" t="inlineStr">
        <x:is>
          <x:t xml:space="preserve">Document DB trade-offs</x:t>
        </x:is>
      </x:c>
    </x:row>
    <x:row r="21" s="11" customFormat="1" ht="43.5" customHeight="1">
      <x:c r="A21" s="4" t="n">
        <x:v>20</x:v>
      </x:c>
      <x:c r="B21" s="4" t="n">
        <x:v>3</x:v>
      </x:c>
      <x:c r="C21" s="4" t="inlineStr">
        <x:is>
          <x:t xml:space="preserve">Sat</x:t>
        </x:is>
      </x:c>
      <x:c r="D21" s="4" t="inlineStr">
        <x:is>
          <x:t xml:space="preserve">Weekend</x:t>
        </x:is>
      </x:c>
      <x:c r="E21" s="4" t="n">
        <x:v>8</x:v>
      </x:c>
      <x:c r="F21" s="4" t="inlineStr">
        <x:is>
          <x:t xml:space="preserve">Two pointers/strings, concurrency, storage/RDS, state management, caching/data modeling</x:t>
        </x:is>
      </x:c>
      <x:c r="G21" s="4" t="inlineStr">
        <x:is>
          <x:t xml:space="preserve">Weekend drill: 4 pointer/string problems</x:t>
        </x:is>
      </x:c>
      <x:c r="H21" s="4" t="inlineStr">
        <x:is>
          <x:t xml:space="preserve">Concurrent file processor</x:t>
        </x:is>
      </x:c>
      <x:c r="I21" s="4" t="inlineStr">
        <x:is>
          <x:t xml:space="preserve">RDS hands-on + schema</x:t>
        </x:is>
      </x:c>
      <x:c r="J21" s="4" t="inlineStr">
        <x:is>
          <x:t xml:space="preserve">Redux app feature</x:t>
        </x:is>
      </x:c>
      <x:c r="K21" s="4" t="inlineStr">
        <x:is>
          <x:t xml:space="preserve">Database design exercise</x:t>
        </x:is>
      </x:c>
      <x:c r="L21" s="4" t="inlineStr">
        <x:is>
          <x:t xml:space="preserve">Small backend + DB + UI demo</x:t>
        </x:is>
      </x:c>
    </x:row>
    <x:row r="22" s="11" customFormat="1" ht="43.5" customHeight="1">
      <x:c r="A22" s="4" t="n">
        <x:v>21</x:v>
      </x:c>
      <x:c r="B22" s="4" t="n">
        <x:v>3</x:v>
      </x:c>
      <x:c r="C22" s="4" t="inlineStr">
        <x:is>
          <x:t xml:space="preserve">Sun</x:t>
        </x:is>
      </x:c>
      <x:c r="D22" s="4" t="inlineStr">
        <x:is>
          <x:t xml:space="preserve">Weekend</x:t>
        </x:is>
      </x:c>
      <x:c r="E22" s="4" t="n">
        <x:v>8</x:v>
      </x:c>
      <x:c r="F22" s="4" t="inlineStr">
        <x:is>
          <x:t xml:space="preserve">Two pointers/strings, concurrency, storage/RDS, state management, caching/data modeling</x:t>
        </x:is>
      </x:c>
      <x:c r="G22" s="4" t="inlineStr">
        <x:is>
          <x:t xml:space="preserve">Weekly review + timed set</x:t>
        </x:is>
      </x:c>
      <x:c r="H22" s="4" t="inlineStr">
        <x:is>
          <x:t xml:space="preserve">Concurrency notes cleanup</x:t>
        </x:is>
      </x:c>
      <x:c r="I22" s="4" t="inlineStr">
        <x:is>
          <x:t xml:space="preserve">Storage recap</x:t>
        </x:is>
      </x:c>
      <x:c r="J22" s="4" t="inlineStr">
        <x:is>
          <x:t xml:space="preserve">State-management recap</x:t>
        </x:is>
      </x:c>
      <x:c r="K22" s="4" t="inlineStr">
        <x:is>
          <x:t xml:space="preserve">Retrospective</x:t>
        </x:is>
      </x:c>
      <x:c r="L22" s="4" t="inlineStr">
        <x:is>
          <x:t xml:space="preserve">Update cheatsheets</x:t>
        </x:is>
      </x:c>
    </x:row>
    <x:row r="23" s="11" customFormat="1" ht="43.5" customHeight="1">
      <x:c r="A23" s="7" t="n">
        <x:v>22</x:v>
      </x:c>
      <x:c r="B23" s="7" t="n">
        <x:v>4</x:v>
      </x:c>
      <x:c r="C23" s="7" t="inlineStr">
        <x:is>
          <x:t xml:space="preserve">Mon</x:t>
        </x:is>
      </x:c>
      <x:c r="D23" s="7" t="inlineStr">
        <x:is>
          <x:t xml:space="preserve">Weekday</x:t>
        </x:is>
      </x:c>
      <x:c r="E23" s="7" t="n">
        <x:v>5</x:v>
      </x:c>
      <x:c r="F23" s="7" t="inlineStr">
        <x:is>
          <x:t xml:space="preserve">Binary search/sorting/intervals, modern Java, RDS vs DynamoDB, API integration, load balancing/data scale</x:t>
        </x:is>
      </x:c>
      <x:c r="G23" s="7" t="inlineStr">
        <x:is>
          <x:t xml:space="preserve">Binary search basics</x:t>
        </x:is>
      </x:c>
      <x:c r="H23" s="7" t="inlineStr">
        <x:is>
          <x:t xml:space="preserve">CompletableFuture chaining</x:t>
        </x:is>
      </x:c>
      <x:c r="I23" s="7" t="inlineStr">
        <x:is>
          <x:t xml:space="preserve">DynamoDB intro</x:t>
        </x:is>
      </x:c>
      <x:c r="J23" s="7" t="inlineStr">
        <x:is>
          <x:t xml:space="preserve">Fetch/Axios basics</x:t>
        </x:is>
      </x:c>
      <x:c r="K23" s="7" t="inlineStr">
        <x:is>
          <x:t xml:space="preserve">Load balancing fundamentals</x:t>
        </x:is>
      </x:c>
      <x:c r="L23" s="7" t="inlineStr">
        <x:is>
          <x:t xml:space="preserve">Call API from React app</x:t>
        </x:is>
      </x:c>
    </x:row>
    <x:row r="24" s="11" customFormat="1" ht="43.5" customHeight="1">
      <x:c r="A24" s="7" t="n">
        <x:v>23</x:v>
      </x:c>
      <x:c r="B24" s="7" t="n">
        <x:v>4</x:v>
      </x:c>
      <x:c r="C24" s="7" t="inlineStr">
        <x:is>
          <x:t xml:space="preserve">Tue</x:t>
        </x:is>
      </x:c>
      <x:c r="D24" s="7" t="inlineStr">
        <x:is>
          <x:t xml:space="preserve">Weekday</x:t>
        </x:is>
      </x:c>
      <x:c r="E24" s="7" t="n">
        <x:v>5</x:v>
      </x:c>
      <x:c r="F24" s="7" t="inlineStr">
        <x:is>
          <x:t xml:space="preserve">Binary search/sorting/intervals, modern Java, RDS vs DynamoDB, API integration, load balancing/data scale</x:t>
        </x:is>
      </x:c>
      <x:c r="G24" s="7" t="inlineStr">
        <x:is>
          <x:t xml:space="preserve">Search insert / first-last position</x:t>
        </x:is>
      </x:c>
      <x:c r="H24" s="7" t="inlineStr">
        <x:is>
          <x:t xml:space="preserve">Parallel streams and benchmarking</x:t>
        </x:is>
      </x:c>
      <x:c r="I24" s="7" t="inlineStr">
        <x:is>
          <x:t xml:space="preserve">DynamoDB partition key/sort key</x:t>
        </x:is>
      </x:c>
      <x:c r="J24" s="7" t="inlineStr">
        <x:is>
          <x:t xml:space="preserve">Loading and error states</x:t>
        </x:is>
      </x:c>
      <x:c r="K24" s="7" t="inlineStr">
        <x:is>
          <x:t xml:space="preserve">Horizontal scaling and statelessness</x:t>
        </x:is>
      </x:c>
      <x:c r="L24" s="7" t="inlineStr">
        <x:is>
          <x:t xml:space="preserve">Write API client wrapper</x:t>
        </x:is>
      </x:c>
    </x:row>
    <x:row r="25" s="11" customFormat="1" ht="43.5" customHeight="1">
      <x:c r="A25" s="7" t="n">
        <x:v>24</x:v>
      </x:c>
      <x:c r="B25" s="7" t="n">
        <x:v>4</x:v>
      </x:c>
      <x:c r="C25" s="7" t="inlineStr">
        <x:is>
          <x:t xml:space="preserve">Wed</x:t>
        </x:is>
      </x:c>
      <x:c r="D25" s="7" t="inlineStr">
        <x:is>
          <x:t xml:space="preserve">Weekday</x:t>
        </x:is>
      </x:c>
      <x:c r="E25" s="7" t="n">
        <x:v>5</x:v>
      </x:c>
      <x:c r="F25" s="7" t="inlineStr">
        <x:is>
          <x:t xml:space="preserve">Binary search/sorting/intervals, modern Java, RDS vs DynamoDB, API integration, load balancing/data scale</x:t>
        </x:is>
      </x:c>
      <x:c r="G25" s="7" t="inlineStr">
        <x:is>
          <x:t xml:space="preserve">Search in rotated sorted array</x:t>
        </x:is>
      </x:c>
      <x:c r="H25" s="7" t="inlineStr">
        <x:is>
          <x:t xml:space="preserve">Java 21 virtual threads overview</x:t>
        </x:is>
      </x:c>
      <x:c r="I25" s="7" t="inlineStr">
        <x:is>
          <x:t xml:space="preserve">GSI/LSI and capacity modes</x:t>
        </x:is>
      </x:c>
      <x:c r="J25" s="7" t="inlineStr">
        <x:is>
          <x:t xml:space="preserve">Interceptors / reusable API layer</x:t>
        </x:is>
      </x:c>
      <x:c r="K25" s="7" t="inlineStr">
        <x:is>
          <x:t xml:space="preserve">Partitioning and sharding basics</x:t>
        </x:is>
      </x:c>
      <x:c r="L25" s="7" t="inlineStr">
        <x:is>
          <x:t xml:space="preserve">Compare virtual threads vs pool notes</x:t>
        </x:is>
      </x:c>
    </x:row>
    <x:row r="26" s="11" customFormat="1" ht="43.5" customHeight="1">
      <x:c r="A26" s="7" t="n">
        <x:v>25</x:v>
      </x:c>
      <x:c r="B26" s="7" t="n">
        <x:v>4</x:v>
      </x:c>
      <x:c r="C26" s="7" t="inlineStr">
        <x:is>
          <x:t xml:space="preserve">Thu</x:t>
        </x:is>
      </x:c>
      <x:c r="D26" s="7" t="inlineStr">
        <x:is>
          <x:t xml:space="preserve">Weekday</x:t>
        </x:is>
      </x:c>
      <x:c r="E26" s="7" t="n">
        <x:v>5</x:v>
      </x:c>
      <x:c r="F26" s="7" t="inlineStr">
        <x:is>
          <x:t xml:space="preserve">Binary search/sorting/intervals, modern Java, RDS vs DynamoDB, API integration, load balancing/data scale</x:t>
        </x:is>
      </x:c>
      <x:c r="G26" s="7" t="inlineStr">
        <x:is>
          <x:t xml:space="preserve">Sorting fundamentals + comparator</x:t>
        </x:is>
      </x:c>
      <x:c r="H26" s="7" t="inlineStr">
        <x:is>
          <x:t xml:space="preserve">Sealed classes, pattern matching refresher</x:t>
        </x:is>
      </x:c>
      <x:c r="I26" s="7" t="inlineStr">
        <x:is>
          <x:t xml:space="preserve">RDS vs DynamoDB decision lab</x:t>
        </x:is>
      </x:c>
      <x:c r="J26" s="7" t="inlineStr">
        <x:is>
          <x:t xml:space="preserve">Pagination / infinite scroll</x:t>
        </x:is>
      </x:c>
      <x:c r="K26" s="7" t="inlineStr">
        <x:is>
          <x:t xml:space="preserve">Consistency models and read/write trade-offs</x:t>
        </x:is>
      </x:c>
      <x:c r="L26" s="7" t="inlineStr">
        <x:is>
          <x:t xml:space="preserve">Decision matrix for DB choice</x:t>
        </x:is>
      </x:c>
    </x:row>
    <x:row r="27" s="11" customFormat="1" ht="43.5" customHeight="1">
      <x:c r="A27" s="7" t="n">
        <x:v>26</x:v>
      </x:c>
      <x:c r="B27" s="7" t="n">
        <x:v>4</x:v>
      </x:c>
      <x:c r="C27" s="7" t="inlineStr">
        <x:is>
          <x:t xml:space="preserve">Fri</x:t>
        </x:is>
      </x:c>
      <x:c r="D27" s="7" t="inlineStr">
        <x:is>
          <x:t xml:space="preserve">Weekday</x:t>
        </x:is>
      </x:c>
      <x:c r="E27" s="7" t="n">
        <x:v>5</x:v>
      </x:c>
      <x:c r="F27" s="7" t="inlineStr">
        <x:is>
          <x:t xml:space="preserve">Binary search/sorting/intervals, modern Java, RDS vs DynamoDB, API integration, load balancing/data scale</x:t>
        </x:is>
      </x:c>
      <x:c r="G27" s="7" t="inlineStr">
        <x:is>
          <x:t xml:space="preserve">Merge intervals intro</x:t>
        </x:is>
      </x:c>
      <x:c r="H27" s="7" t="inlineStr">
        <x:is>
          <x:t xml:space="preserve">JUnit 5 and Mockito basics</x:t>
        </x:is>
      </x:c>
      <x:c r="I27" s="7" t="inlineStr">
        <x:is>
          <x:t xml:space="preserve">Database backup/restore review</x:t>
        </x:is>
      </x:c>
      <x:c r="J27" s="7" t="inlineStr">
        <x:is>
          <x:t xml:space="preserve">Environment configs and feature flags intro</x:t>
        </x:is>
      </x:c>
      <x:c r="K27" s="7" t="inlineStr">
        <x:is>
          <x:t xml:space="preserve">Database scaling patterns</x:t>
        </x:is>
      </x:c>
      <x:c r="L27" s="7" t="inlineStr">
        <x:is>
          <x:t xml:space="preserve">Tests added to Java service</x:t>
        </x:is>
      </x:c>
    </x:row>
    <x:row r="28" s="11" customFormat="1" ht="43.5" customHeight="1">
      <x:c r="A28" s="4" t="n">
        <x:v>27</x:v>
      </x:c>
      <x:c r="B28" s="4" t="n">
        <x:v>4</x:v>
      </x:c>
      <x:c r="C28" s="4" t="inlineStr">
        <x:is>
          <x:t xml:space="preserve">Sat</x:t>
        </x:is>
      </x:c>
      <x:c r="D28" s="4" t="inlineStr">
        <x:is>
          <x:t xml:space="preserve">Weekend</x:t>
        </x:is>
      </x:c>
      <x:c r="E28" s="4" t="n">
        <x:v>8</x:v>
      </x:c>
      <x:c r="F28" s="4" t="inlineStr">
        <x:is>
          <x:t xml:space="preserve">Binary search/sorting/intervals, modern Java, RDS vs DynamoDB, API integration, load balancing/data scale</x:t>
        </x:is>
      </x:c>
      <x:c r="G28" s="4" t="inlineStr">
        <x:is>
          <x:t xml:space="preserve">Weekend drill: search/sort/intervals</x:t>
        </x:is>
      </x:c>
      <x:c r="H28" s="4" t="inlineStr">
        <x:is>
          <x:t xml:space="preserve">Collections benchmark mini lab</x:t>
        </x:is>
      </x:c>
      <x:c r="I28" s="4" t="inlineStr">
        <x:is>
          <x:t xml:space="preserve">Full CRUD app with chosen DB</x:t>
        </x:is>
      </x:c>
      <x:c r="J28" s="4" t="inlineStr">
        <x:is>
          <x:t xml:space="preserve">Integrated API UI</x:t>
        </x:is>
      </x:c>
      <x:c r="K28" s="4" t="inlineStr">
        <x:is>
          <x:t xml:space="preserve">Design a small e-commerce architecture</x:t>
        </x:is>
      </x:c>
      <x:c r="L28" s="4" t="inlineStr">
        <x:is>
          <x:t xml:space="preserve">Milestone review for Day 30</x:t>
        </x:is>
      </x:c>
    </x:row>
    <x:row r="29" s="11" customFormat="1" ht="43.5" customHeight="1">
      <x:c r="A29" s="4" t="n">
        <x:v>28</x:v>
      </x:c>
      <x:c r="B29" s="4" t="n">
        <x:v>4</x:v>
      </x:c>
      <x:c r="C29" s="4" t="inlineStr">
        <x:is>
          <x:t xml:space="preserve">Sun</x:t>
        </x:is>
      </x:c>
      <x:c r="D29" s="4" t="inlineStr">
        <x:is>
          <x:t xml:space="preserve">Weekend</x:t>
        </x:is>
      </x:c>
      <x:c r="E29" s="4" t="n">
        <x:v>8</x:v>
      </x:c>
      <x:c r="F29" s="4" t="inlineStr">
        <x:is>
          <x:t xml:space="preserve">Binary search/sorting/intervals, modern Java, RDS vs DynamoDB, API integration, load balancing/data scale</x:t>
        </x:is>
      </x:c>
      <x:c r="G29" s="4" t="inlineStr">
        <x:is>
          <x:t xml:space="preserve">Weekly review + timed set</x:t>
        </x:is>
      </x:c>
      <x:c r="H29" s="4" t="inlineStr">
        <x:is>
          <x:t xml:space="preserve">Refactor and retest</x:t>
        </x:is>
      </x:c>
      <x:c r="I29" s="4" t="inlineStr">
        <x:is>
          <x:t xml:space="preserve">AWS core recap</x:t>
        </x:is>
      </x:c>
      <x:c r="J29" s="4" t="inlineStr">
        <x:is>
          <x:t xml:space="preserve">UI polish</x:t>
        </x:is>
      </x:c>
      <x:c r="K29" s="4" t="inlineStr">
        <x:is>
          <x:t xml:space="preserve">Retrospective</x:t>
        </x:is>
      </x:c>
      <x:c r="L29" s="4" t="inlineStr">
        <x:is>
          <x:t xml:space="preserve">Prepare milestone summary</x:t>
        </x:is>
      </x:c>
    </x:row>
    <x:row r="30" s="11" customFormat="1" ht="43.5" customHeight="1">
      <x:c r="A30" s="7" t="n">
        <x:v>29</x:v>
      </x:c>
      <x:c r="B30" s="7" t="n">
        <x:v>5</x:v>
      </x:c>
      <x:c r="C30" s="7" t="inlineStr">
        <x:is>
          <x:t xml:space="preserve">Mon</x:t>
        </x:is>
      </x:c>
      <x:c r="D30" s="7" t="inlineStr">
        <x:is>
          <x:t xml:space="preserve">Weekday</x:t>
        </x:is>
      </x:c>
      <x:c r="E30" s="7" t="n">
        <x:v>5</x:v>
      </x:c>
      <x:c r="F30" s="7" t="inlineStr">
        <x:is>
          <x:t xml:space="preserve">Linked list/stack/queue, Spring core, Lambda/API Gateway, advanced state, microservices basics</x:t>
        </x:is>
      </x:c>
      <x:c r="G30" s="7" t="inlineStr">
        <x:is>
          <x:t xml:space="preserve">Reverse linked list</x:t>
        </x:is>
      </x:c>
      <x:c r="H30" s="7" t="inlineStr">
        <x:is>
          <x:t xml:space="preserve">Spring Boot project structure, IoC/DI</x:t>
        </x:is>
      </x:c>
      <x:c r="I30" s="7" t="inlineStr">
        <x:is>
          <x:t xml:space="preserve">Lambda basics</x:t>
        </x:is>
      </x:c>
      <x:c r="J30" s="7" t="inlineStr">
        <x:is>
          <x:t xml:space="preserve">State strategy: local vs global vs server state</x:t>
        </x:is>
      </x:c>
      <x:c r="K30" s="7" t="inlineStr">
        <x:is>
          <x:t xml:space="preserve">Microservice decomposition principles</x:t>
        </x:is>
      </x:c>
      <x:c r="L30" s="7" t="inlineStr">
        <x:is>
          <x:t xml:space="preserve">Create Spring Boot base service</x:t>
        </x:is>
      </x:c>
    </x:row>
    <x:row r="31" s="11" customFormat="1" ht="43.5" customHeight="1">
      <x:c r="A31" s="5" t="n">
        <x:v>30</x:v>
      </x:c>
      <x:c r="B31" s="5" t="n">
        <x:v>5</x:v>
      </x:c>
      <x:c r="C31" s="5" t="inlineStr">
        <x:is>
          <x:t xml:space="preserve">Tue</x:t>
        </x:is>
      </x:c>
      <x:c r="D31" s="5" t="inlineStr">
        <x:is>
          <x:t xml:space="preserve">Weekday</x:t>
        </x:is>
      </x:c>
      <x:c r="E31" s="5" t="n">
        <x:v>5</x:v>
      </x:c>
      <x:c r="F31" s="5" t="inlineStr">
        <x:is>
          <x:t xml:space="preserve">Linked list/stack/queue, Spring core, Lambda/API Gateway, advanced state, microservices basics</x:t>
        </x:is>
      </x:c>
      <x:c r="G31" s="5" t="inlineStr">
        <x:is>
          <x:t xml:space="preserve">Merge two sorted lists</x:t>
        </x:is>
      </x:c>
      <x:c r="H31" s="5" t="inlineStr">
        <x:is>
          <x:t xml:space="preserve">Bean lifecycle and configuration</x:t>
        </x:is>
      </x:c>
      <x:c r="I31" s="5" t="inlineStr">
        <x:is>
          <x:t xml:space="preserve">API Gateway basics</x:t>
        </x:is>
      </x:c>
      <x:c r="J31" s="5" t="inlineStr">
        <x:is>
          <x:t xml:space="preserve">Redux Toolkit slices</x:t>
        </x:is>
      </x:c>
      <x:c r="K31" s="5" t="inlineStr">
        <x:is>
          <x:t xml:space="preserve">Sync vs async service communication</x:t>
        </x:is>
      </x:c>
      <x:c r="L31" s="5" t="inlineStr">
        <x:is>
          <x:t xml:space="preserve">Expose first REST endpoint</x:t>
        </x:is>
      </x:c>
    </x:row>
    <x:row r="32" s="11" customFormat="1" ht="43.5" customHeight="1">
      <x:c r="A32" s="7" t="n">
        <x:v>31</x:v>
      </x:c>
      <x:c r="B32" s="7" t="n">
        <x:v>5</x:v>
      </x:c>
      <x:c r="C32" s="7" t="inlineStr">
        <x:is>
          <x:t xml:space="preserve">Wed</x:t>
        </x:is>
      </x:c>
      <x:c r="D32" s="7" t="inlineStr">
        <x:is>
          <x:t xml:space="preserve">Weekday</x:t>
        </x:is>
      </x:c>
      <x:c r="E32" s="7" t="n">
        <x:v>5</x:v>
      </x:c>
      <x:c r="F32" s="7" t="inlineStr">
        <x:is>
          <x:t xml:space="preserve">Linked list/stack/queue, Spring core, Lambda/API Gateway, advanced state, microservices basics</x:t>
        </x:is>
      </x:c>
      <x:c r="G32" s="7" t="inlineStr">
        <x:is>
          <x:t xml:space="preserve">Remove nth node / cycle detect</x:t>
        </x:is>
      </x:c>
      <x:c r="H32" s="7" t="inlineStr">
        <x:is>
          <x:t xml:space="preserve">Spring MVC controllers</x:t>
        </x:is>
      </x:c>
      <x:c r="I32" s="7" t="inlineStr">
        <x:is>
          <x:t xml:space="preserve">Lambda events and handlers</x:t>
        </x:is>
      </x:c>
      <x:c r="J32" s="7" t="inlineStr">
        <x:is>
          <x:t xml:space="preserve">Normalized state and selectors</x:t>
        </x:is>
      </x:c>
      <x:c r="K32" s="7" t="inlineStr">
        <x:is>
          <x:t xml:space="preserve">Service contracts and OpenAPI</x:t>
        </x:is>
      </x:c>
      <x:c r="L32" s="7" t="inlineStr">
        <x:is>
          <x:t xml:space="preserve">OpenAPI spec draft</x:t>
        </x:is>
      </x:c>
    </x:row>
    <x:row r="33" s="11" customFormat="1" ht="43.5" customHeight="1">
      <x:c r="A33" s="7" t="n">
        <x:v>32</x:v>
      </x:c>
      <x:c r="B33" s="7" t="n">
        <x:v>5</x:v>
      </x:c>
      <x:c r="C33" s="7" t="inlineStr">
        <x:is>
          <x:t xml:space="preserve">Thu</x:t>
        </x:is>
      </x:c>
      <x:c r="D33" s="7" t="inlineStr">
        <x:is>
          <x:t xml:space="preserve">Weekday</x:t>
        </x:is>
      </x:c>
      <x:c r="E33" s="7" t="n">
        <x:v>5</x:v>
      </x:c>
      <x:c r="F33" s="7" t="inlineStr">
        <x:is>
          <x:t xml:space="preserve">Linked list/stack/queue, Spring core, Lambda/API Gateway, advanced state, microservices basics</x:t>
        </x:is>
      </x:c>
      <x:c r="G33" s="7" t="inlineStr">
        <x:is>
          <x:t xml:space="preserve">Valid parentheses / MinStack</x:t>
        </x:is>
      </x:c>
      <x:c r="H33" s="7" t="inlineStr">
        <x:is>
          <x:t xml:space="preserve">Validation + global exception handling</x:t>
        </x:is>
      </x:c>
      <x:c r="I33" s="7" t="inlineStr">
        <x:is>
          <x:t xml:space="preserve">Lambda + API Gateway CRUD</x:t>
        </x:is>
      </x:c>
      <x:c r="J33" s="7" t="inlineStr">
        <x:is>
          <x:t xml:space="preserve">RTK Query or server-state library</x:t>
        </x:is>
      </x:c>
      <x:c r="K33" s="7" t="inlineStr">
        <x:is>
          <x:t xml:space="preserve">Consumer-driven contract thinking</x:t>
        </x:is>
      </x:c>
      <x:c r="L33" s="7" t="inlineStr">
        <x:is>
          <x:t xml:space="preserve">Serverless CRUD prototype</x:t>
        </x:is>
      </x:c>
    </x:row>
    <x:row r="34" s="11" customFormat="1" ht="43.5" customHeight="1">
      <x:c r="A34" s="7" t="n">
        <x:v>33</x:v>
      </x:c>
      <x:c r="B34" s="7" t="n">
        <x:v>5</x:v>
      </x:c>
      <x:c r="C34" s="7" t="inlineStr">
        <x:is>
          <x:t xml:space="preserve">Fri</x:t>
        </x:is>
      </x:c>
      <x:c r="D34" s="7" t="inlineStr">
        <x:is>
          <x:t xml:space="preserve">Weekday</x:t>
        </x:is>
      </x:c>
      <x:c r="E34" s="7" t="n">
        <x:v>5</x:v>
      </x:c>
      <x:c r="F34" s="7" t="inlineStr">
        <x:is>
          <x:t xml:space="preserve">Linked list/stack/queue, Spring core, Lambda/API Gateway, advanced state, microservices basics</x:t>
        </x:is>
      </x:c>
      <x:c r="G34" s="7" t="inlineStr">
        <x:is>
          <x:t xml:space="preserve">Queue basics / sliding-window max</x:t>
        </x:is>
      </x:c>
      <x:c r="H34" s="7" t="inlineStr">
        <x:is>
          <x:t xml:space="preserve">Profiles and externalized config</x:t>
        </x:is>
      </x:c>
      <x:c r="I34" s="7" t="inlineStr">
        <x:is>
          <x:t xml:space="preserve">Step Functions intro</x:t>
        </x:is>
      </x:c>
      <x:c r="J34" s="7" t="inlineStr">
        <x:is>
          <x:t xml:space="preserve">Optimistic updates</x:t>
        </x:is>
      </x:c>
      <x:c r="K34" s="7" t="inlineStr">
        <x:is>
          <x:t xml:space="preserve">Saga pattern intro</x:t>
        </x:is>
      </x:c>
      <x:c r="L34" s="7" t="inlineStr">
        <x:is>
          <x:t xml:space="preserve">Profile-based config for dev/test/prod</x:t>
        </x:is>
      </x:c>
    </x:row>
    <x:row r="35" s="11" customFormat="1" ht="43.5" customHeight="1">
      <x:c r="A35" s="4" t="n">
        <x:v>34</x:v>
      </x:c>
      <x:c r="B35" s="4" t="n">
        <x:v>5</x:v>
      </x:c>
      <x:c r="C35" s="4" t="inlineStr">
        <x:is>
          <x:t xml:space="preserve">Sat</x:t>
        </x:is>
      </x:c>
      <x:c r="D35" s="4" t="inlineStr">
        <x:is>
          <x:t xml:space="preserve">Weekend</x:t>
        </x:is>
      </x:c>
      <x:c r="E35" s="4" t="n">
        <x:v>8</x:v>
      </x:c>
      <x:c r="F35" s="4" t="inlineStr">
        <x:is>
          <x:t xml:space="preserve">Linked list/stack/queue, Spring core, Lambda/API Gateway, advanced state, microservices basics</x:t>
        </x:is>
      </x:c>
      <x:c r="G35" s="4" t="inlineStr">
        <x:is>
          <x:t xml:space="preserve">Weekend drill: 4 LL/stack/queue problems</x:t>
        </x:is>
      </x:c>
      <x:c r="H35" s="4" t="inlineStr">
        <x:is>
          <x:t xml:space="preserve">Build Spring CRUD API</x:t>
        </x:is>
      </x:c>
      <x:c r="I35" s="4" t="inlineStr">
        <x:is>
          <x:t xml:space="preserve">Serverless hands-on lab</x:t>
        </x:is>
      </x:c>
      <x:c r="J35" s="4" t="inlineStr">
        <x:is>
          <x:t xml:space="preserve">State-heavy feature</x:t>
        </x:is>
      </x:c>
      <x:c r="K35" s="4" t="inlineStr">
        <x:is>
          <x:t xml:space="preserve">Microservice sketch for same domain</x:t>
        </x:is>
      </x:c>
      <x:c r="L35" s="4" t="inlineStr">
        <x:is>
          <x:t xml:space="preserve">Compare monolith vs microservice design</x:t>
        </x:is>
      </x:c>
    </x:row>
    <x:row r="36" s="11" customFormat="1" ht="43.5" customHeight="1">
      <x:c r="A36" s="4" t="n">
        <x:v>35</x:v>
      </x:c>
      <x:c r="B36" s="4" t="n">
        <x:v>5</x:v>
      </x:c>
      <x:c r="C36" s="4" t="inlineStr">
        <x:is>
          <x:t xml:space="preserve">Sun</x:t>
        </x:is>
      </x:c>
      <x:c r="D36" s="4" t="inlineStr">
        <x:is>
          <x:t xml:space="preserve">Weekend</x:t>
        </x:is>
      </x:c>
      <x:c r="E36" s="4" t="n">
        <x:v>8</x:v>
      </x:c>
      <x:c r="F36" s="4" t="inlineStr">
        <x:is>
          <x:t xml:space="preserve">Linked list/stack/queue, Spring core, Lambda/API Gateway, advanced state, microservices basics</x:t>
        </x:is>
      </x:c>
      <x:c r="G36" s="4" t="inlineStr">
        <x:is>
          <x:t xml:space="preserve">Weekly review + timed set</x:t>
        </x:is>
      </x:c>
      <x:c r="H36" s="4" t="inlineStr">
        <x:is>
          <x:t xml:space="preserve">Spring recap</x:t>
        </x:is>
      </x:c>
      <x:c r="I36" s="4" t="inlineStr">
        <x:is>
          <x:t xml:space="preserve">Serverless recap</x:t>
        </x:is>
      </x:c>
      <x:c r="J36" s="4" t="inlineStr">
        <x:is>
          <x:t xml:space="preserve">React recap</x:t>
        </x:is>
      </x:c>
      <x:c r="K36" s="4" t="inlineStr">
        <x:is>
          <x:t xml:space="preserve">Retrospective</x:t>
        </x:is>
      </x:c>
      <x:c r="L36" s="4" t="inlineStr">
        <x:is>
          <x:t xml:space="preserve">Update architecture notes</x:t>
        </x:is>
      </x:c>
    </x:row>
    <x:row r="37" s="11" customFormat="1" ht="29" customHeight="1">
      <x:c r="A37" s="7" t="n">
        <x:v>36</x:v>
      </x:c>
      <x:c r="B37" s="7" t="n">
        <x:v>6</x:v>
      </x:c>
      <x:c r="C37" s="7" t="inlineStr">
        <x:is>
          <x:t xml:space="preserve">Mon</x:t>
        </x:is>
      </x:c>
      <x:c r="D37" s="7" t="inlineStr">
        <x:is>
          <x:t xml:space="preserve">Weekday</x:t>
        </x:is>
      </x:c>
      <x:c r="E37" s="7" t="n">
        <x:v>5</x:v>
      </x:c>
      <x:c r="F37" s="7" t="inlineStr">
        <x:is>
          <x:t xml:space="preserve">Heap/trees basics, JPA, Docker/ECS, React performance, auth/security</x:t>
        </x:is>
      </x:c>
      <x:c r="G37" s="7" t="inlineStr">
        <x:is>
          <x:t xml:space="preserve">Heap intro + kth largest</x:t>
        </x:is>
      </x:c>
      <x:c r="H37" s="7" t="inlineStr">
        <x:is>
          <x:t xml:space="preserve">JPA entities and repositories</x:t>
        </x:is>
      </x:c>
      <x:c r="I37" s="7" t="inlineStr">
        <x:is>
          <x:t xml:space="preserve">Docker fundamentals</x:t>
        </x:is>
      </x:c>
      <x:c r="J37" s="7" t="inlineStr">
        <x:is>
          <x:t xml:space="preserve">Render cycle and re-render debugging</x:t>
        </x:is>
      </x:c>
      <x:c r="K37" s="7" t="inlineStr">
        <x:is>
          <x:t xml:space="preserve">Authentication vs authorization</x:t>
        </x:is>
      </x:c>
      <x:c r="L37" s="7" t="inlineStr">
        <x:is>
          <x:t xml:space="preserve">Containerize Spring app</x:t>
        </x:is>
      </x:c>
    </x:row>
    <x:row r="38" s="11" customFormat="1" ht="29" customHeight="1">
      <x:c r="A38" s="7" t="n">
        <x:v>37</x:v>
      </x:c>
      <x:c r="B38" s="7" t="n">
        <x:v>6</x:v>
      </x:c>
      <x:c r="C38" s="7" t="inlineStr">
        <x:is>
          <x:t xml:space="preserve">Tue</x:t>
        </x:is>
      </x:c>
      <x:c r="D38" s="7" t="inlineStr">
        <x:is>
          <x:t xml:space="preserve">Weekday</x:t>
        </x:is>
      </x:c>
      <x:c r="E38" s="7" t="n">
        <x:v>5</x:v>
      </x:c>
      <x:c r="F38" s="7" t="inlineStr">
        <x:is>
          <x:t xml:space="preserve">Heap/trees basics, JPA, Docker/ECS, React performance, auth/security</x:t>
        </x:is>
      </x:c>
      <x:c r="G38" s="7" t="inlineStr">
        <x:is>
          <x:t xml:space="preserve">Top K frequent elements</x:t>
        </x:is>
      </x:c>
      <x:c r="H38" s="7" t="inlineStr">
        <x:is>
          <x:t xml:space="preserve">Relationships and fetch strategies</x:t>
        </x:is>
      </x:c>
      <x:c r="I38" s="7" t="inlineStr">
        <x:is>
          <x:t xml:space="preserve">Dockerfile + multi-stage build</x:t>
        </x:is>
      </x:c>
      <x:c r="J38" s="7" t="inlineStr">
        <x:is>
          <x:t xml:space="preserve">useMemo</x:t>
        </x:is>
      </x:c>
      <x:c r="K38" s="7" t="inlineStr">
        <x:is>
          <x:t xml:space="preserve">JWT basics and token structure</x:t>
        </x:is>
      </x:c>
      <x:c r="L38" s="7" t="inlineStr">
        <x:is>
          <x:t xml:space="preserve">Docker image built locally</x:t>
        </x:is>
      </x:c>
    </x:row>
    <x:row r="39" s="11" customFormat="1" ht="29" customHeight="1">
      <x:c r="A39" s="7" t="n">
        <x:v>38</x:v>
      </x:c>
      <x:c r="B39" s="7" t="n">
        <x:v>6</x:v>
      </x:c>
      <x:c r="C39" s="7" t="inlineStr">
        <x:is>
          <x:t xml:space="preserve">Wed</x:t>
        </x:is>
      </x:c>
      <x:c r="D39" s="7" t="inlineStr">
        <x:is>
          <x:t xml:space="preserve">Weekday</x:t>
        </x:is>
      </x:c>
      <x:c r="E39" s="7" t="n">
        <x:v>5</x:v>
      </x:c>
      <x:c r="F39" s="7" t="inlineStr">
        <x:is>
          <x:t xml:space="preserve">Heap/trees basics, JPA, Docker/ECS, React performance, auth/security</x:t>
        </x:is>
      </x:c>
      <x:c r="G39" s="7" t="inlineStr">
        <x:is>
          <x:t xml:space="preserve">Tree DFS traversals</x:t>
        </x:is>
      </x:c>
      <x:c r="H39" s="7" t="inlineStr">
        <x:is>
          <x:t xml:space="preserve">Transactions and propagation basics</x:t>
        </x:is>
      </x:c>
      <x:c r="I39" s="7" t="inlineStr">
        <x:is>
          <x:t xml:space="preserve">ECR registry</x:t>
        </x:is>
      </x:c>
      <x:c r="J39" s="7" t="inlineStr">
        <x:is>
          <x:t xml:space="preserve">useCallback and React.memo</x:t>
        </x:is>
      </x:c>
      <x:c r="K39" s="7" t="inlineStr">
        <x:is>
          <x:t xml:space="preserve">OAuth2/OIDC concepts</x:t>
        </x:is>
      </x:c>
      <x:c r="L39" s="7" t="inlineStr">
        <x:is>
          <x:t xml:space="preserve">Push image to ECR</x:t>
        </x:is>
      </x:c>
    </x:row>
    <x:row r="40" s="11" customFormat="1" ht="29" customHeight="1">
      <x:c r="A40" s="7" t="n">
        <x:v>39</x:v>
      </x:c>
      <x:c r="B40" s="7" t="n">
        <x:v>6</x:v>
      </x:c>
      <x:c r="C40" s="7" t="inlineStr">
        <x:is>
          <x:t xml:space="preserve">Thu</x:t>
        </x:is>
      </x:c>
      <x:c r="D40" s="7" t="inlineStr">
        <x:is>
          <x:t xml:space="preserve">Weekday</x:t>
        </x:is>
      </x:c>
      <x:c r="E40" s="7" t="n">
        <x:v>5</x:v>
      </x:c>
      <x:c r="F40" s="7" t="inlineStr">
        <x:is>
          <x:t xml:space="preserve">Heap/trees basics, JPA, Docker/ECS, React performance, auth/security</x:t>
        </x:is>
      </x:c>
      <x:c r="G40" s="7" t="inlineStr">
        <x:is>
          <x:t xml:space="preserve">Tree BFS / level order</x:t>
        </x:is>
      </x:c>
      <x:c r="H40" s="7" t="inlineStr">
        <x:is>
          <x:t xml:space="preserve">Pagination and sorting with Spring Data</x:t>
        </x:is>
      </x:c>
      <x:c r="I40" s="7" t="inlineStr">
        <x:is>
          <x:t xml:space="preserve">ECS / Fargate basics</x:t>
        </x:is>
      </x:c>
      <x:c r="J40" s="7" t="inlineStr">
        <x:is>
          <x:t xml:space="preserve">Lazy loading and code splitting</x:t>
        </x:is>
      </x:c>
      <x:c r="K40" s="7" t="inlineStr">
        <x:is>
          <x:t xml:space="preserve">Session vs token architecture</x:t>
        </x:is>
      </x:c>
      <x:c r="L40" s="7" t="inlineStr">
        <x:is>
          <x:t xml:space="preserve">Deploy container service</x:t>
        </x:is>
      </x:c>
    </x:row>
    <x:row r="41" s="11" customFormat="1" ht="29" customHeight="1">
      <x:c r="A41" s="7" t="n">
        <x:v>40</x:v>
      </x:c>
      <x:c r="B41" s="7" t="n">
        <x:v>6</x:v>
      </x:c>
      <x:c r="C41" s="7" t="inlineStr">
        <x:is>
          <x:t xml:space="preserve">Fri</x:t>
        </x:is>
      </x:c>
      <x:c r="D41" s="7" t="inlineStr">
        <x:is>
          <x:t xml:space="preserve">Weekday</x:t>
        </x:is>
      </x:c>
      <x:c r="E41" s="7" t="n">
        <x:v>5</x:v>
      </x:c>
      <x:c r="F41" s="7" t="inlineStr">
        <x:is>
          <x:t xml:space="preserve">Heap/trees basics, JPA, Docker/ECS, React performance, auth/security</x:t>
        </x:is>
      </x:c>
      <x:c r="G41" s="7" t="inlineStr">
        <x:is>
          <x:t xml:space="preserve">Max depth / invert tree</x:t>
        </x:is>
      </x:c>
      <x:c r="H41" s="7" t="inlineStr">
        <x:is>
          <x:t xml:space="preserve">Testing REST APIs with MockMvc</x:t>
        </x:is>
      </x:c>
      <x:c r="I41" s="7" t="inlineStr">
        <x:is>
          <x:t xml:space="preserve">ECS service deploy review</x:t>
        </x:is>
      </x:c>
      <x:c r="J41" s="7" t="inlineStr">
        <x:is>
          <x:t xml:space="preserve">List virtualization</x:t>
        </x:is>
      </x:c>
      <x:c r="K41" s="7" t="inlineStr">
        <x:is>
          <x:t xml:space="preserve">Password storage, secrets, secure config</x:t>
        </x:is>
      </x:c>
      <x:c r="L41" s="7" t="inlineStr">
        <x:is>
          <x:t xml:space="preserve">Secure config checklist</x:t>
        </x:is>
      </x:c>
    </x:row>
    <x:row r="42" s="11" customFormat="1" ht="29" customHeight="1">
      <x:c r="A42" s="4" t="n">
        <x:v>41</x:v>
      </x:c>
      <x:c r="B42" s="4" t="n">
        <x:v>6</x:v>
      </x:c>
      <x:c r="C42" s="4" t="inlineStr">
        <x:is>
          <x:t xml:space="preserve">Sat</x:t>
        </x:is>
      </x:c>
      <x:c r="D42" s="4" t="inlineStr">
        <x:is>
          <x:t xml:space="preserve">Weekend</x:t>
        </x:is>
      </x:c>
      <x:c r="E42" s="4" t="n">
        <x:v>8</x:v>
      </x:c>
      <x:c r="F42" s="4" t="inlineStr">
        <x:is>
          <x:t xml:space="preserve">Heap/trees basics, JPA, Docker/ECS, React performance, auth/security</x:t>
        </x:is>
      </x:c>
      <x:c r="G42" s="4" t="inlineStr">
        <x:is>
          <x:t xml:space="preserve">Weekend drill: 4 heap/tree problems</x:t>
        </x:is>
      </x:c>
      <x:c r="H42" s="4" t="inlineStr">
        <x:is>
          <x:t xml:space="preserve">JPA mini service</x:t>
        </x:is>
      </x:c>
      <x:c r="I42" s="4" t="inlineStr">
        <x:is>
          <x:t xml:space="preserve">Docker + ECS deploy</x:t>
        </x:is>
      </x:c>
      <x:c r="J42" s="4" t="inlineStr">
        <x:is>
          <x:t xml:space="preserve">Performance audit</x:t>
        </x:is>
      </x:c>
      <x:c r="K42" s="4" t="inlineStr">
        <x:is>
          <x:t xml:space="preserve">Security architecture review</x:t>
        </x:is>
      </x:c>
      <x:c r="L42" s="4" t="inlineStr">
        <x:is>
          <x:t xml:space="preserve">Milestone: containerized app in cloud</x:t>
        </x:is>
      </x:c>
    </x:row>
    <x:row r="43" s="11" customFormat="1" ht="29" customHeight="1">
      <x:c r="A43" s="4" t="n">
        <x:v>42</x:v>
      </x:c>
      <x:c r="B43" s="4" t="n">
        <x:v>6</x:v>
      </x:c>
      <x:c r="C43" s="4" t="inlineStr">
        <x:is>
          <x:t xml:space="preserve">Sun</x:t>
        </x:is>
      </x:c>
      <x:c r="D43" s="4" t="inlineStr">
        <x:is>
          <x:t xml:space="preserve">Weekend</x:t>
        </x:is>
      </x:c>
      <x:c r="E43" s="4" t="n">
        <x:v>8</x:v>
      </x:c>
      <x:c r="F43" s="4" t="inlineStr">
        <x:is>
          <x:t xml:space="preserve">Heap/trees basics, JPA, Docker/ECS, React performance, auth/security</x:t>
        </x:is>
      </x:c>
      <x:c r="G43" s="4" t="inlineStr">
        <x:is>
          <x:t xml:space="preserve">Weekly review + timed set</x:t>
        </x:is>
      </x:c>
      <x:c r="H43" s="4" t="inlineStr">
        <x:is>
          <x:t xml:space="preserve">Persistence recap</x:t>
        </x:is>
      </x:c>
      <x:c r="I43" s="4" t="inlineStr">
        <x:is>
          <x:t xml:space="preserve">Container recap</x:t>
        </x:is>
      </x:c>
      <x:c r="J43" s="4" t="inlineStr">
        <x:is>
          <x:t xml:space="preserve">React perf recap</x:t>
        </x:is>
      </x:c>
      <x:c r="K43" s="4" t="inlineStr">
        <x:is>
          <x:t xml:space="preserve">Retrospective</x:t>
        </x:is>
      </x:c>
      <x:c r="L43" s="4" t="inlineStr">
        <x:is>
          <x:t xml:space="preserve">Update cheatsheets</x:t>
        </x:is>
      </x:c>
    </x:row>
    <x:row r="44" s="11" customFormat="1" ht="43.5" customHeight="1">
      <x:c r="A44" s="7" t="n">
        <x:v>43</x:v>
      </x:c>
      <x:c r="B44" s="7" t="n">
        <x:v>7</x:v>
      </x:c>
      <x:c r="C44" s="7" t="inlineStr">
        <x:is>
          <x:t xml:space="preserve">Mon</x:t>
        </x:is>
      </x:c>
      <x:c r="D44" s="7" t="inlineStr">
        <x:is>
          <x:t xml:space="preserve">Weekday</x:t>
        </x:is>
      </x:c>
      <x:c r="E44" s="7" t="n">
        <x:v>5</x:v>
      </x:c>
      <x:c r="F44" s="7" t="inlineStr">
        <x:is>
          <x:t xml:space="preserve">Trees advanced, persistence tuning, messaging, UI architecture, event-driven design</x:t>
        </x:is>
      </x:c>
      <x:c r="G44" s="7" t="inlineStr">
        <x:is>
          <x:t xml:space="preserve">Tree diameter</x:t>
        </x:is>
      </x:c>
      <x:c r="H44" s="7" t="inlineStr">
        <x:is>
          <x:t xml:space="preserve">Connection pools and HikariCP</x:t>
        </x:is>
      </x:c>
      <x:c r="I44" s="7" t="inlineStr">
        <x:is>
          <x:t xml:space="preserve">SQS basics</x:t>
        </x:is>
      </x:c>
      <x:c r="J44" s="7" t="inlineStr">
        <x:is>
          <x:t xml:space="preserve">Folder structure for scale</x:t>
        </x:is>
      </x:c>
      <x:c r="K44" s="7" t="inlineStr">
        <x:is>
          <x:t xml:space="preserve">Event-driven vs request-response</x:t>
        </x:is>
      </x:c>
      <x:c r="L44" s="7" t="inlineStr">
        <x:is>
          <x:t xml:space="preserve">Queue producer/consumer demo</x:t>
        </x:is>
      </x:c>
    </x:row>
    <x:row r="45" s="11" customFormat="1" ht="43.5" customHeight="1">
      <x:c r="A45" s="7" t="n">
        <x:v>44</x:v>
      </x:c>
      <x:c r="B45" s="7" t="n">
        <x:v>7</x:v>
      </x:c>
      <x:c r="C45" s="7" t="inlineStr">
        <x:is>
          <x:t xml:space="preserve">Tue</x:t>
        </x:is>
      </x:c>
      <x:c r="D45" s="7" t="inlineStr">
        <x:is>
          <x:t xml:space="preserve">Weekday</x:t>
        </x:is>
      </x:c>
      <x:c r="E45" s="7" t="n">
        <x:v>5</x:v>
      </x:c>
      <x:c r="F45" s="7" t="inlineStr">
        <x:is>
          <x:t xml:space="preserve">Trees advanced, persistence tuning, messaging, UI architecture, event-driven design</x:t>
        </x:is>
      </x:c>
      <x:c r="G45" s="7" t="inlineStr">
        <x:is>
          <x:t xml:space="preserve">Balanced tree</x:t>
        </x:is>
      </x:c>
      <x:c r="H45" s="7" t="inlineStr">
        <x:is>
          <x:t xml:space="preserve">Indexing and query tuning</x:t>
        </x:is>
      </x:c>
      <x:c r="I45" s="7" t="inlineStr">
        <x:is>
          <x:t xml:space="preserve">SNS basics</x:t>
        </x:is>
      </x:c>
      <x:c r="J45" s="7" t="inlineStr">
        <x:is>
          <x:t xml:space="preserve">Reusable component patterns</x:t>
        </x:is>
      </x:c>
      <x:c r="K45" s="7" t="inlineStr">
        <x:is>
          <x:t xml:space="preserve">Eventual consistency</x:t>
        </x:is>
      </x:c>
      <x:c r="L45" s="7" t="inlineStr">
        <x:is>
          <x:t xml:space="preserve">DB index review</x:t>
        </x:is>
      </x:c>
    </x:row>
    <x:row r="46" s="11" customFormat="1" ht="43.5" customHeight="1">
      <x:c r="A46" s="7" t="n">
        <x:v>45</x:v>
      </x:c>
      <x:c r="B46" s="7" t="n">
        <x:v>7</x:v>
      </x:c>
      <x:c r="C46" s="7" t="inlineStr">
        <x:is>
          <x:t xml:space="preserve">Wed</x:t>
        </x:is>
      </x:c>
      <x:c r="D46" s="7" t="inlineStr">
        <x:is>
          <x:t xml:space="preserve">Weekday</x:t>
        </x:is>
      </x:c>
      <x:c r="E46" s="7" t="n">
        <x:v>5</x:v>
      </x:c>
      <x:c r="F46" s="7" t="inlineStr">
        <x:is>
          <x:t xml:space="preserve">Trees advanced, persistence tuning, messaging, UI architecture, event-driven design</x:t>
        </x:is>
      </x:c>
      <x:c r="G46" s="7" t="inlineStr">
        <x:is>
          <x:t xml:space="preserve">Path sum</x:t>
        </x:is>
      </x:c>
      <x:c r="H46" s="7" t="inlineStr">
        <x:is>
          <x:t xml:space="preserve">Redis caching in Spring</x:t>
        </x:is>
      </x:c>
      <x:c r="I46" s="7" t="inlineStr">
        <x:is>
          <x:t xml:space="preserve">EventBridge basics</x:t>
        </x:is>
      </x:c>
      <x:c r="J46" s="7" t="inlineStr">
        <x:is>
          <x:t xml:space="preserve">Design-system fundamentals</x:t>
        </x:is>
      </x:c>
      <x:c r="K46" s="7" t="inlineStr">
        <x:is>
          <x:t xml:space="preserve">Outbox pattern</x:t>
        </x:is>
      </x:c>
      <x:c r="L46" s="7" t="inlineStr">
        <x:is>
          <x:t xml:space="preserve">Cache-backed endpoint</x:t>
        </x:is>
      </x:c>
    </x:row>
    <x:row r="47" s="11" customFormat="1" ht="43.5" customHeight="1">
      <x:c r="A47" s="7" t="n">
        <x:v>46</x:v>
      </x:c>
      <x:c r="B47" s="7" t="n">
        <x:v>7</x:v>
      </x:c>
      <x:c r="C47" s="7" t="inlineStr">
        <x:is>
          <x:t xml:space="preserve">Thu</x:t>
        </x:is>
      </x:c>
      <x:c r="D47" s="7" t="inlineStr">
        <x:is>
          <x:t xml:space="preserve">Weekday</x:t>
        </x:is>
      </x:c>
      <x:c r="E47" s="7" t="n">
        <x:v>5</x:v>
      </x:c>
      <x:c r="F47" s="7" t="inlineStr">
        <x:is>
          <x:t xml:space="preserve">Trees advanced, persistence tuning, messaging, UI architecture, event-driven design</x:t>
        </x:is>
      </x:c>
      <x:c r="G47" s="7" t="inlineStr">
        <x:is>
          <x:t xml:space="preserve">Lowest common ancestor</x:t>
        </x:is>
      </x:c>
      <x:c r="H47" s="7" t="inlineStr">
        <x:is>
          <x:t xml:space="preserve">Structured logging and correlation IDs</x:t>
        </x:is>
      </x:c>
      <x:c r="I47" s="7" t="inlineStr">
        <x:is>
          <x:t xml:space="preserve">SQS/SNS/EventBridge comparison</x:t>
        </x:is>
      </x:c>
      <x:c r="J47" s="7" t="inlineStr">
        <x:is>
          <x:t xml:space="preserve">Accessibility basics</x:t>
        </x:is>
      </x:c>
      <x:c r="K47" s="7" t="inlineStr">
        <x:is>
          <x:t xml:space="preserve">Idempotency and retries</x:t>
        </x:is>
      </x:c>
      <x:c r="L47" s="7" t="inlineStr">
        <x:is>
          <x:t xml:space="preserve">Logging standard adopted</x:t>
        </x:is>
      </x:c>
    </x:row>
    <x:row r="48" s="11" customFormat="1" ht="43.5" customHeight="1">
      <x:c r="A48" s="7" t="n">
        <x:v>47</x:v>
      </x:c>
      <x:c r="B48" s="7" t="n">
        <x:v>7</x:v>
      </x:c>
      <x:c r="C48" s="7" t="inlineStr">
        <x:is>
          <x:t xml:space="preserve">Fri</x:t>
        </x:is>
      </x:c>
      <x:c r="D48" s="7" t="inlineStr">
        <x:is>
          <x:t xml:space="preserve">Weekday</x:t>
        </x:is>
      </x:c>
      <x:c r="E48" s="7" t="n">
        <x:v>5</x:v>
      </x:c>
      <x:c r="F48" s="7" t="inlineStr">
        <x:is>
          <x:t xml:space="preserve">Trees advanced, persistence tuning, messaging, UI architecture, event-driven design</x:t>
        </x:is>
      </x:c>
      <x:c r="G48" s="7" t="inlineStr">
        <x:is>
          <x:t xml:space="preserve">Serialize/deserialize tree</x:t>
        </x:is>
      </x:c>
      <x:c r="H48" s="7" t="inlineStr">
        <x:is>
          <x:t xml:space="preserve">Database tests with Testcontainers</x:t>
        </x:is>
      </x:c>
      <x:c r="I48" s="7" t="inlineStr">
        <x:is>
          <x:t xml:space="preserve">DLQ and retry patterns</x:t>
        </x:is>
      </x:c>
      <x:c r="J48" s="7" t="inlineStr">
        <x:is>
          <x:t xml:space="preserve">Theming and token system</x:t>
        </x:is>
      </x:c>
      <x:c r="K48" s="7" t="inlineStr">
        <x:is>
          <x:t xml:space="preserve">Domain events and schema evolution</x:t>
        </x:is>
      </x:c>
      <x:c r="L48" s="7" t="inlineStr">
        <x:is>
          <x:t xml:space="preserve">Dead-letter handling lab</x:t>
        </x:is>
      </x:c>
    </x:row>
    <x:row r="49" s="11" customFormat="1" ht="43.5" customHeight="1">
      <x:c r="A49" s="4" t="n">
        <x:v>48</x:v>
      </x:c>
      <x:c r="B49" s="4" t="n">
        <x:v>7</x:v>
      </x:c>
      <x:c r="C49" s="4" t="inlineStr">
        <x:is>
          <x:t xml:space="preserve">Sat</x:t>
        </x:is>
      </x:c>
      <x:c r="D49" s="4" t="inlineStr">
        <x:is>
          <x:t xml:space="preserve">Weekend</x:t>
        </x:is>
      </x:c>
      <x:c r="E49" s="4" t="n">
        <x:v>8</x:v>
      </x:c>
      <x:c r="F49" s="4" t="inlineStr">
        <x:is>
          <x:t xml:space="preserve">Trees advanced, persistence tuning, messaging, UI architecture, event-driven design</x:t>
        </x:is>
      </x:c>
      <x:c r="G49" s="4" t="inlineStr">
        <x:is>
          <x:t xml:space="preserve">Weekend drill: 4 tree problems</x:t>
        </x:is>
      </x:c>
      <x:c r="H49" s="4" t="inlineStr">
        <x:is>
          <x:t xml:space="preserve">Spring service with cache + queue</x:t>
        </x:is>
      </x:c>
      <x:c r="I49" s="4" t="inlineStr">
        <x:is>
          <x:t xml:space="preserve">Event pipeline lab</x:t>
        </x:is>
      </x:c>
      <x:c r="J49" s="4" t="inlineStr">
        <x:is>
          <x:t xml:space="preserve">Component library starter</x:t>
        </x:is>
      </x:c>
      <x:c r="K49" s="4" t="inlineStr">
        <x:is>
          <x:t xml:space="preserve">Event-driven design review</x:t>
        </x:is>
      </x:c>
      <x:c r="L49" s="4" t="inlineStr">
        <x:is>
          <x:t xml:space="preserve">Milestone: async processing path</x:t>
        </x:is>
      </x:c>
    </x:row>
    <x:row r="50" s="11" customFormat="1" ht="43.5" customHeight="1">
      <x:c r="A50" s="4" t="n">
        <x:v>49</x:v>
      </x:c>
      <x:c r="B50" s="4" t="n">
        <x:v>7</x:v>
      </x:c>
      <x:c r="C50" s="4" t="inlineStr">
        <x:is>
          <x:t xml:space="preserve">Sun</x:t>
        </x:is>
      </x:c>
      <x:c r="D50" s="4" t="inlineStr">
        <x:is>
          <x:t xml:space="preserve">Weekend</x:t>
        </x:is>
      </x:c>
      <x:c r="E50" s="4" t="n">
        <x:v>8</x:v>
      </x:c>
      <x:c r="F50" s="4" t="inlineStr">
        <x:is>
          <x:t xml:space="preserve">Trees advanced, persistence tuning, messaging, UI architecture, event-driven design</x:t>
        </x:is>
      </x:c>
      <x:c r="G50" s="4" t="inlineStr">
        <x:is>
          <x:t xml:space="preserve">Weekly review + timed set</x:t>
        </x:is>
      </x:c>
      <x:c r="H50" s="4" t="inlineStr">
        <x:is>
          <x:t xml:space="preserve">Backend recap</x:t>
        </x:is>
      </x:c>
      <x:c r="I50" s="4" t="inlineStr">
        <x:is>
          <x:t xml:space="preserve">Messaging recap</x:t>
        </x:is>
      </x:c>
      <x:c r="J50" s="4" t="inlineStr">
        <x:is>
          <x:t xml:space="preserve">UI architecture recap</x:t>
        </x:is>
      </x:c>
      <x:c r="K50" s="4" t="inlineStr">
        <x:is>
          <x:t xml:space="preserve">Retrospective</x:t>
        </x:is>
      </x:c>
      <x:c r="L50" s="4" t="inlineStr">
        <x:is>
          <x:t xml:space="preserve">Update diagrams</x:t>
        </x:is>
      </x:c>
    </x:row>
    <x:row r="51" s="11" customFormat="1" ht="43.5" customHeight="1">
      <x:c r="A51" s="7" t="n">
        <x:v>50</x:v>
      </x:c>
      <x:c r="B51" s="7" t="n">
        <x:v>8</x:v>
      </x:c>
      <x:c r="C51" s="7" t="inlineStr">
        <x:is>
          <x:t xml:space="preserve">Mon</x:t>
        </x:is>
      </x:c>
      <x:c r="D51" s="7" t="inlineStr">
        <x:is>
          <x:t xml:space="preserve">Weekday</x:t>
        </x:is>
      </x:c>
      <x:c r="E51" s="7" t="n">
        <x:v>5</x:v>
      </x:c>
      <x:c r="F51" s="7" t="inlineStr">
        <x:is>
          <x:t xml:space="preserve">Graphs, Spring Cloud patterns, observability, frontend testing, reliability</x:t>
        </x:is>
      </x:c>
      <x:c r="G51" s="7" t="inlineStr">
        <x:is>
          <x:t xml:space="preserve">Graph representation + BFS</x:t>
        </x:is>
      </x:c>
      <x:c r="H51" s="7" t="inlineStr">
        <x:is>
          <x:t xml:space="preserve">Feign and client abstractions</x:t>
        </x:is>
      </x:c>
      <x:c r="I51" s="7" t="inlineStr">
        <x:is>
          <x:t xml:space="preserve">CloudWatch logs and metrics</x:t>
        </x:is>
      </x:c>
      <x:c r="J51" s="7" t="inlineStr">
        <x:is>
          <x:t xml:space="preserve">Jest basics</x:t>
        </x:is>
      </x:c>
      <x:c r="K51" s="7" t="inlineStr">
        <x:is>
          <x:t xml:space="preserve">SLIs, SLOs, SLAs</x:t>
        </x:is>
      </x:c>
      <x:c r="L51" s="7" t="inlineStr">
        <x:is>
          <x:t xml:space="preserve">Enable logs/metrics for one app</x:t>
        </x:is>
      </x:c>
    </x:row>
    <x:row r="52" s="11" customFormat="1" ht="43.5" customHeight="1">
      <x:c r="A52" s="7" t="n">
        <x:v>51</x:v>
      </x:c>
      <x:c r="B52" s="7" t="n">
        <x:v>8</x:v>
      </x:c>
      <x:c r="C52" s="7" t="inlineStr">
        <x:is>
          <x:t xml:space="preserve">Tue</x:t>
        </x:is>
      </x:c>
      <x:c r="D52" s="7" t="inlineStr">
        <x:is>
          <x:t xml:space="preserve">Weekday</x:t>
        </x:is>
      </x:c>
      <x:c r="E52" s="7" t="n">
        <x:v>5</x:v>
      </x:c>
      <x:c r="F52" s="7" t="inlineStr">
        <x:is>
          <x:t xml:space="preserve">Graphs, Spring Cloud patterns, observability, frontend testing, reliability</x:t>
        </x:is>
      </x:c>
      <x:c r="G52" s="7" t="inlineStr">
        <x:is>
          <x:t xml:space="preserve">DFS / connected components</x:t>
        </x:is>
      </x:c>
      <x:c r="H52" s="7" t="inlineStr">
        <x:is>
          <x:t xml:space="preserve">Gateway pattern for services</x:t>
        </x:is>
      </x:c>
      <x:c r="I52" s="7" t="inlineStr">
        <x:is>
          <x:t xml:space="preserve">Alarms and dashboards</x:t>
        </x:is>
      </x:c>
      <x:c r="J52" s="7" t="inlineStr">
        <x:is>
          <x:t xml:space="preserve">React Testing Library basics</x:t>
        </x:is>
      </x:c>
      <x:c r="K52" s="7" t="inlineStr">
        <x:is>
          <x:t xml:space="preserve">Resilience patterns overview</x:t>
        </x:is>
      </x:c>
      <x:c r="L52" s="7" t="inlineStr">
        <x:is>
          <x:t xml:space="preserve">Create dashboard/alarms</x:t>
        </x:is>
      </x:c>
    </x:row>
    <x:row r="53" s="11" customFormat="1" ht="43.5" customHeight="1">
      <x:c r="A53" s="7" t="n">
        <x:v>52</x:v>
      </x:c>
      <x:c r="B53" s="7" t="n">
        <x:v>8</x:v>
      </x:c>
      <x:c r="C53" s="7" t="inlineStr">
        <x:is>
          <x:t xml:space="preserve">Wed</x:t>
        </x:is>
      </x:c>
      <x:c r="D53" s="7" t="inlineStr">
        <x:is>
          <x:t xml:space="preserve">Weekday</x:t>
        </x:is>
      </x:c>
      <x:c r="E53" s="7" t="n">
        <x:v>5</x:v>
      </x:c>
      <x:c r="F53" s="7" t="inlineStr">
        <x:is>
          <x:t xml:space="preserve">Graphs, Spring Cloud patterns, observability, frontend testing, reliability</x:t>
        </x:is>
      </x:c>
      <x:c r="G53" s="7" t="inlineStr">
        <x:is>
          <x:t xml:space="preserve">Number of Islands</x:t>
        </x:is>
      </x:c>
      <x:c r="H53" s="7" t="inlineStr">
        <x:is>
          <x:t xml:space="preserve">Central config pattern</x:t>
        </x:is>
      </x:c>
      <x:c r="I53" s="7" t="inlineStr">
        <x:is>
          <x:t xml:space="preserve">Tracing concepts and AWS X-Ray</x:t>
        </x:is>
      </x:c>
      <x:c r="J53" s="7" t="inlineStr">
        <x:is>
          <x:t xml:space="preserve">Component tests</x:t>
        </x:is>
      </x:c>
      <x:c r="K53" s="7" t="inlineStr">
        <x:is>
          <x:t xml:space="preserve">Timeouts, retries, circuit breakers</x:t>
        </x:is>
      </x:c>
      <x:c r="L53" s="7" t="inlineStr">
        <x:is>
          <x:t xml:space="preserve">Trace one request</x:t>
        </x:is>
      </x:c>
    </x:row>
    <x:row r="54" s="11" customFormat="1" ht="43.5" customHeight="1">
      <x:c r="A54" s="7" t="n">
        <x:v>53</x:v>
      </x:c>
      <x:c r="B54" s="7" t="n">
        <x:v>8</x:v>
      </x:c>
      <x:c r="C54" s="7" t="inlineStr">
        <x:is>
          <x:t xml:space="preserve">Thu</x:t>
        </x:is>
      </x:c>
      <x:c r="D54" s="7" t="inlineStr">
        <x:is>
          <x:t xml:space="preserve">Weekday</x:t>
        </x:is>
      </x:c>
      <x:c r="E54" s="7" t="n">
        <x:v>5</x:v>
      </x:c>
      <x:c r="F54" s="7" t="inlineStr">
        <x:is>
          <x:t xml:space="preserve">Graphs, Spring Cloud patterns, observability, frontend testing, reliability</x:t>
        </x:is>
      </x:c>
      <x:c r="G54" s="7" t="inlineStr">
        <x:is>
          <x:t xml:space="preserve">Course Schedule / topo sort</x:t>
        </x:is>
      </x:c>
      <x:c r="H54" s="7" t="inlineStr">
        <x:is>
          <x:t xml:space="preserve">Service discovery or registry pattern</x:t>
        </x:is>
      </x:c>
      <x:c r="I54" s="7" t="inlineStr">
        <x:is>
          <x:t xml:space="preserve">Centralized logging pipeline</x:t>
        </x:is>
      </x:c>
      <x:c r="J54" s="7" t="inlineStr">
        <x:is>
          <x:t xml:space="preserve">Integration tests with API mocks</x:t>
        </x:is>
      </x:c>
      <x:c r="K54" s="7" t="inlineStr">
        <x:is>
          <x:t xml:space="preserve">Bulkhead and backpressure</x:t>
        </x:is>
      </x:c>
      <x:c r="L54" s="7" t="inlineStr">
        <x:is>
          <x:t xml:space="preserve">Reliability notes updated</x:t>
        </x:is>
      </x:c>
    </x:row>
    <x:row r="55" s="11" customFormat="1" ht="43.5" customHeight="1">
      <x:c r="A55" s="7" t="n">
        <x:v>54</x:v>
      </x:c>
      <x:c r="B55" s="7" t="n">
        <x:v>8</x:v>
      </x:c>
      <x:c r="C55" s="7" t="inlineStr">
        <x:is>
          <x:t xml:space="preserve">Fri</x:t>
        </x:is>
      </x:c>
      <x:c r="D55" s="7" t="inlineStr">
        <x:is>
          <x:t xml:space="preserve">Weekday</x:t>
        </x:is>
      </x:c>
      <x:c r="E55" s="7" t="n">
        <x:v>5</x:v>
      </x:c>
      <x:c r="F55" s="7" t="inlineStr">
        <x:is>
          <x:t xml:space="preserve">Graphs, Spring Cloud patterns, observability, frontend testing, reliability</x:t>
        </x:is>
      </x:c>
      <x:c r="G55" s="7" t="inlineStr">
        <x:is>
          <x:t xml:space="preserve">Clone Graph</x:t>
        </x:is>
      </x:c>
      <x:c r="H55" s="7" t="inlineStr">
        <x:is>
          <x:t xml:space="preserve">Resilience4j circuit breaker + retry</x:t>
        </x:is>
      </x:c>
      <x:c r="I55" s="7" t="inlineStr">
        <x:is>
          <x:t xml:space="preserve">Health checks and autoscaling signals</x:t>
        </x:is>
      </x:c>
      <x:c r="J55" s="7" t="inlineStr">
        <x:is>
          <x:t xml:space="preserve">E2E basics</x:t>
        </x:is>
      </x:c>
      <x:c r="K55" s="7" t="inlineStr">
        <x:is>
          <x:t xml:space="preserve">Failure modes and chaos thinking</x:t>
        </x:is>
      </x:c>
      <x:c r="L55" s="7" t="inlineStr">
        <x:is>
          <x:t xml:space="preserve">Add retry/circuit breaker to service</x:t>
        </x:is>
      </x:c>
    </x:row>
    <x:row r="56" s="11" customFormat="1" ht="43.5" customHeight="1">
      <x:c r="A56" s="4" t="n">
        <x:v>55</x:v>
      </x:c>
      <x:c r="B56" s="4" t="n">
        <x:v>8</x:v>
      </x:c>
      <x:c r="C56" s="4" t="inlineStr">
        <x:is>
          <x:t xml:space="preserve">Sat</x:t>
        </x:is>
      </x:c>
      <x:c r="D56" s="4" t="inlineStr">
        <x:is>
          <x:t xml:space="preserve">Weekend</x:t>
        </x:is>
      </x:c>
      <x:c r="E56" s="4" t="n">
        <x:v>8</x:v>
      </x:c>
      <x:c r="F56" s="4" t="inlineStr">
        <x:is>
          <x:t xml:space="preserve">Graphs, Spring Cloud patterns, observability, frontend testing, reliability</x:t>
        </x:is>
      </x:c>
      <x:c r="G56" s="4" t="inlineStr">
        <x:is>
          <x:t xml:space="preserve">Weekend drill: 4 graph problems</x:t>
        </x:is>
      </x:c>
      <x:c r="H56" s="4" t="inlineStr">
        <x:is>
          <x:t xml:space="preserve">Instrument one microservice</x:t>
        </x:is>
      </x:c>
      <x:c r="I56" s="4" t="inlineStr">
        <x:is>
          <x:t xml:space="preserve">Observe app in AWS</x:t>
        </x:is>
      </x:c>
      <x:c r="J56" s="4" t="inlineStr">
        <x:is>
          <x:t xml:space="preserve">Test one full flow</x:t>
        </x:is>
      </x:c>
      <x:c r="K56" s="4" t="inlineStr">
        <x:is>
          <x:t xml:space="preserve">Reliability review</x:t>
        </x:is>
      </x:c>
      <x:c r="L56" s="4" t="inlineStr">
        <x:is>
          <x:t xml:space="preserve">Milestone: observable service</x:t>
        </x:is>
      </x:c>
    </x:row>
    <x:row r="57" s="11" customFormat="1" ht="43.5" customHeight="1">
      <x:c r="A57" s="4" t="n">
        <x:v>56</x:v>
      </x:c>
      <x:c r="B57" s="4" t="n">
        <x:v>8</x:v>
      </x:c>
      <x:c r="C57" s="4" t="inlineStr">
        <x:is>
          <x:t xml:space="preserve">Sun</x:t>
        </x:is>
      </x:c>
      <x:c r="D57" s="4" t="inlineStr">
        <x:is>
          <x:t xml:space="preserve">Weekend</x:t>
        </x:is>
      </x:c>
      <x:c r="E57" s="4" t="n">
        <x:v>8</x:v>
      </x:c>
      <x:c r="F57" s="4" t="inlineStr">
        <x:is>
          <x:t xml:space="preserve">Graphs, Spring Cloud patterns, observability, frontend testing, reliability</x:t>
        </x:is>
      </x:c>
      <x:c r="G57" s="4" t="inlineStr">
        <x:is>
          <x:t xml:space="preserve">Weekly review + timed set</x:t>
        </x:is>
      </x:c>
      <x:c r="H57" s="4" t="inlineStr">
        <x:is>
          <x:t xml:space="preserve">Microservice recap</x:t>
        </x:is>
      </x:c>
      <x:c r="I57" s="4" t="inlineStr">
        <x:is>
          <x:t xml:space="preserve">Observability recap</x:t>
        </x:is>
      </x:c>
      <x:c r="J57" s="4" t="inlineStr">
        <x:is>
          <x:t xml:space="preserve">Testing recap</x:t>
        </x:is>
      </x:c>
      <x:c r="K57" s="4" t="inlineStr">
        <x:is>
          <x:t xml:space="preserve">Retrospective</x:t>
        </x:is>
      </x:c>
      <x:c r="L57" s="4" t="inlineStr">
        <x:is>
          <x:t xml:space="preserve">Update runbook</x:t>
        </x:is>
      </x:c>
    </x:row>
    <x:row r="58" s="11" customFormat="1" ht="29" customHeight="1">
      <x:c r="A58" s="7" t="n">
        <x:v>57</x:v>
      </x:c>
      <x:c r="B58" s="7" t="n">
        <x:v>9</x:v>
      </x:c>
      <x:c r="C58" s="7" t="inlineStr">
        <x:is>
          <x:t xml:space="preserve">Mon</x:t>
        </x:is>
      </x:c>
      <x:c r="D58" s="7" t="inlineStr">
        <x:is>
          <x:t xml:space="preserve">Weekday</x:t>
        </x:is>
      </x:c>
      <x:c r="E58" s="7" t="n">
        <x:v>5</x:v>
      </x:c>
      <x:c r="F58" s="7" t="inlineStr">
        <x:is>
          <x:t xml:space="preserve">DP basics, async Java, Redis patterns, TypeScript basics, caching strategy</x:t>
        </x:is>
      </x:c>
      <x:c r="G58" s="7" t="inlineStr">
        <x:is>
          <x:t xml:space="preserve">Fibonacci / DP state</x:t>
        </x:is>
      </x:c>
      <x:c r="H58" s="7" t="inlineStr">
        <x:is>
          <x:t xml:space="preserve">Async APIs with CompletableFuture</x:t>
        </x:is>
      </x:c>
      <x:c r="I58" s="7" t="inlineStr">
        <x:is>
          <x:t xml:space="preserve">Redis basics / ElastiCache concepts</x:t>
        </x:is>
      </x:c>
      <x:c r="J58" s="7" t="inlineStr">
        <x:is>
          <x:t xml:space="preserve">TypeScript basics for React</x:t>
        </x:is>
      </x:c>
      <x:c r="K58" s="7" t="inlineStr">
        <x:is>
          <x:t xml:space="preserve">Caching strategy selection</x:t>
        </x:is>
      </x:c>
      <x:c r="L58" s="7" t="inlineStr">
        <x:is>
          <x:t xml:space="preserve">Add TS to one feature</x:t>
        </x:is>
      </x:c>
    </x:row>
    <x:row r="59" s="11" customFormat="1" ht="29" customHeight="1">
      <x:c r="A59" s="7" t="n">
        <x:v>58</x:v>
      </x:c>
      <x:c r="B59" s="7" t="n">
        <x:v>9</x:v>
      </x:c>
      <x:c r="C59" s="7" t="inlineStr">
        <x:is>
          <x:t xml:space="preserve">Tue</x:t>
        </x:is>
      </x:c>
      <x:c r="D59" s="7" t="inlineStr">
        <x:is>
          <x:t xml:space="preserve">Weekday</x:t>
        </x:is>
      </x:c>
      <x:c r="E59" s="7" t="n">
        <x:v>5</x:v>
      </x:c>
      <x:c r="F59" s="7" t="inlineStr">
        <x:is>
          <x:t xml:space="preserve">DP basics, async Java, Redis patterns, TypeScript basics, caching strategy</x:t>
        </x:is>
      </x:c>
      <x:c r="G59" s="7" t="inlineStr">
        <x:is>
          <x:t xml:space="preserve">Climbing Stairs</x:t>
        </x:is>
      </x:c>
      <x:c r="H59" s="7" t="inlineStr">
        <x:is>
          <x:t xml:space="preserve">Virtual threads vs pool decisions</x:t>
        </x:is>
      </x:c>
      <x:c r="I59" s="7" t="inlineStr">
        <x:is>
          <x:t xml:space="preserve">Redis cache/session patterns</x:t>
        </x:is>
      </x:c>
      <x:c r="J59" s="7" t="inlineStr">
        <x:is>
          <x:t xml:space="preserve">Typing props and state</x:t>
        </x:is>
      </x:c>
      <x:c r="K59" s="7" t="inlineStr">
        <x:is>
          <x:t xml:space="preserve">Read-through vs write-through cache</x:t>
        </x:is>
      </x:c>
      <x:c r="L59" s="7" t="inlineStr">
        <x:is>
          <x:t xml:space="preserve">Document virtual-thread use cases</x:t>
        </x:is>
      </x:c>
    </x:row>
    <x:row r="60" s="11" customFormat="1" ht="29" customHeight="1">
      <x:c r="A60" s="7" t="n">
        <x:v>59</x:v>
      </x:c>
      <x:c r="B60" s="7" t="n">
        <x:v>9</x:v>
      </x:c>
      <x:c r="C60" s="7" t="inlineStr">
        <x:is>
          <x:t xml:space="preserve">Wed</x:t>
        </x:is>
      </x:c>
      <x:c r="D60" s="7" t="inlineStr">
        <x:is>
          <x:t xml:space="preserve">Weekday</x:t>
        </x:is>
      </x:c>
      <x:c r="E60" s="7" t="n">
        <x:v>5</x:v>
      </x:c>
      <x:c r="F60" s="7" t="inlineStr">
        <x:is>
          <x:t xml:space="preserve">DP basics, async Java, Redis patterns, TypeScript basics, caching strategy</x:t>
        </x:is>
      </x:c>
      <x:c r="G60" s="7" t="inlineStr">
        <x:is>
          <x:t xml:space="preserve">House Robber</x:t>
        </x:is>
      </x:c>
      <x:c r="H60" s="7" t="inlineStr">
        <x:is>
          <x:t xml:space="preserve">Producer-consumer concurrency pattern</x:t>
        </x:is>
      </x:c>
      <x:c r="I60" s="7" t="inlineStr">
        <x:is>
          <x:t xml:space="preserve">TTL, eviction, hot key issues</x:t>
        </x:is>
      </x:c>
      <x:c r="J60" s="7" t="inlineStr">
        <x:is>
          <x:t xml:space="preserve">Typing API responses</x:t>
        </x:is>
      </x:c>
      <x:c r="K60" s="7" t="inlineStr">
        <x:is>
          <x:t xml:space="preserve">Cache invalidation</x:t>
        </x:is>
      </x:c>
      <x:c r="L60" s="7" t="inlineStr">
        <x:is>
          <x:t xml:space="preserve">Cache-enabled endpoint</x:t>
        </x:is>
      </x:c>
    </x:row>
    <x:row r="61" s="11" customFormat="1" ht="29" customHeight="1">
      <x:c r="A61" s="5" t="n">
        <x:v>60</x:v>
      </x:c>
      <x:c r="B61" s="5" t="n">
        <x:v>9</x:v>
      </x:c>
      <x:c r="C61" s="5" t="inlineStr">
        <x:is>
          <x:t xml:space="preserve">Thu</x:t>
        </x:is>
      </x:c>
      <x:c r="D61" s="5" t="inlineStr">
        <x:is>
          <x:t xml:space="preserve">Weekday</x:t>
        </x:is>
      </x:c>
      <x:c r="E61" s="5" t="n">
        <x:v>5</x:v>
      </x:c>
      <x:c r="F61" s="5" t="inlineStr">
        <x:is>
          <x:t xml:space="preserve">DP basics, async Java, Redis patterns, TypeScript basics, caching strategy</x:t>
        </x:is>
      </x:c>
      <x:c r="G61" s="5" t="inlineStr">
        <x:is>
          <x:t xml:space="preserve">Unique Paths</x:t>
        </x:is>
      </x:c>
      <x:c r="H61" s="5" t="inlineStr">
        <x:is>
          <x:t xml:space="preserve">Asynchronous event processor</x:t>
        </x:is>
      </x:c>
      <x:c r="I61" s="5" t="inlineStr">
        <x:is>
          <x:t xml:space="preserve">Benchmark cache impact</x:t>
        </x:is>
      </x:c>
      <x:c r="J61" s="5" t="inlineStr">
        <x:is>
          <x:t xml:space="preserve">Generics in TS</x:t>
        </x:is>
      </x:c>
      <x:c r="K61" s="5" t="inlineStr">
        <x:is>
          <x:t xml:space="preserve">Cache stampede / request coalescing</x:t>
        </x:is>
      </x:c>
      <x:c r="L61" s="5" t="inlineStr">
        <x:is>
          <x:t xml:space="preserve">Measure latency before/after cache</x:t>
        </x:is>
      </x:c>
    </x:row>
    <x:row r="62" s="11" customFormat="1" ht="29" customHeight="1">
      <x:c r="A62" s="7" t="n">
        <x:v>61</x:v>
      </x:c>
      <x:c r="B62" s="7" t="n">
        <x:v>9</x:v>
      </x:c>
      <x:c r="C62" s="7" t="inlineStr">
        <x:is>
          <x:t xml:space="preserve">Fri</x:t>
        </x:is>
      </x:c>
      <x:c r="D62" s="7" t="inlineStr">
        <x:is>
          <x:t xml:space="preserve">Weekday</x:t>
        </x:is>
      </x:c>
      <x:c r="E62" s="7" t="n">
        <x:v>5</x:v>
      </x:c>
      <x:c r="F62" s="7" t="inlineStr">
        <x:is>
          <x:t xml:space="preserve">DP basics, async Java, Redis patterns, TypeScript basics, caching strategy</x:t>
        </x:is>
      </x:c>
      <x:c r="G62" s="7" t="inlineStr">
        <x:is>
          <x:t xml:space="preserve">Coin Change</x:t>
        </x:is>
      </x:c>
      <x:c r="H62" s="7" t="inlineStr">
        <x:is>
          <x:t xml:space="preserve">Async error handling and cancellation</x:t>
        </x:is>
      </x:c>
      <x:c r="I62" s="7" t="inlineStr">
        <x:is>
          <x:t xml:space="preserve">CDN vs API cache recap</x:t>
        </x:is>
      </x:c>
      <x:c r="J62" s="7" t="inlineStr">
        <x:is>
          <x:t xml:space="preserve">Strict mode / tsconfig cleanup</x:t>
        </x:is>
      </x:c>
      <x:c r="K62" s="7" t="inlineStr">
        <x:is>
          <x:t xml:space="preserve">Choosing cache boundaries</x:t>
        </x:is>
      </x:c>
      <x:c r="L62" s="7" t="inlineStr">
        <x:is>
          <x:t xml:space="preserve">TS cleanup + notes</x:t>
        </x:is>
      </x:c>
    </x:row>
    <x:row r="63" s="11" customFormat="1" ht="29" customHeight="1">
      <x:c r="A63" s="4" t="n">
        <x:v>62</x:v>
      </x:c>
      <x:c r="B63" s="4" t="n">
        <x:v>9</x:v>
      </x:c>
      <x:c r="C63" s="4" t="inlineStr">
        <x:is>
          <x:t xml:space="preserve">Sat</x:t>
        </x:is>
      </x:c>
      <x:c r="D63" s="4" t="inlineStr">
        <x:is>
          <x:t xml:space="preserve">Weekend</x:t>
        </x:is>
      </x:c>
      <x:c r="E63" s="4" t="n">
        <x:v>8</x:v>
      </x:c>
      <x:c r="F63" s="4" t="inlineStr">
        <x:is>
          <x:t xml:space="preserve">DP basics, async Java, Redis patterns, TypeScript basics, caching strategy</x:t>
        </x:is>
      </x:c>
      <x:c r="G63" s="4" t="inlineStr">
        <x:is>
          <x:t xml:space="preserve">Weekend drill: 4 DP problems</x:t>
        </x:is>
      </x:c>
      <x:c r="H63" s="4" t="inlineStr">
        <x:is>
          <x:t xml:space="preserve">Async pipeline mini-project</x:t>
        </x:is>
      </x:c>
      <x:c r="I63" s="4" t="inlineStr">
        <x:is>
          <x:t xml:space="preserve">Redis with Spring + AWS review</x:t>
        </x:is>
      </x:c>
      <x:c r="J63" s="4" t="inlineStr">
        <x:is>
          <x:t xml:space="preserve">TS refactor day</x:t>
        </x:is>
      </x:c>
      <x:c r="K63" s="4" t="inlineStr">
        <x:is>
          <x:t xml:space="preserve">Cache design review</x:t>
        </x:is>
      </x:c>
      <x:c r="L63" s="4" t="inlineStr">
        <x:is>
          <x:t xml:space="preserve">Milestone: cache-backed async feature</x:t>
        </x:is>
      </x:c>
    </x:row>
    <x:row r="64" s="11" customFormat="1" ht="29" customHeight="1">
      <x:c r="A64" s="4" t="n">
        <x:v>63</x:v>
      </x:c>
      <x:c r="B64" s="4" t="n">
        <x:v>9</x:v>
      </x:c>
      <x:c r="C64" s="4" t="inlineStr">
        <x:is>
          <x:t xml:space="preserve">Sun</x:t>
        </x:is>
      </x:c>
      <x:c r="D64" s="4" t="inlineStr">
        <x:is>
          <x:t xml:space="preserve">Weekend</x:t>
        </x:is>
      </x:c>
      <x:c r="E64" s="4" t="n">
        <x:v>8</x:v>
      </x:c>
      <x:c r="F64" s="4" t="inlineStr">
        <x:is>
          <x:t xml:space="preserve">DP basics, async Java, Redis patterns, TypeScript basics, caching strategy</x:t>
        </x:is>
      </x:c>
      <x:c r="G64" s="4" t="inlineStr">
        <x:is>
          <x:t xml:space="preserve">Weekly review + timed set</x:t>
        </x:is>
      </x:c>
      <x:c r="H64" s="4" t="inlineStr">
        <x:is>
          <x:t xml:space="preserve">Async recap</x:t>
        </x:is>
      </x:c>
      <x:c r="I64" s="4" t="inlineStr">
        <x:is>
          <x:t xml:space="preserve">Cache recap</x:t>
        </x:is>
      </x:c>
      <x:c r="J64" s="4" t="inlineStr">
        <x:is>
          <x:t xml:space="preserve">TS recap</x:t>
        </x:is>
      </x:c>
      <x:c r="K64" s="4" t="inlineStr">
        <x:is>
          <x:t xml:space="preserve">Retrospective</x:t>
        </x:is>
      </x:c>
      <x:c r="L64" s="4" t="inlineStr">
        <x:is>
          <x:t xml:space="preserve">Update cheatsheets</x:t>
        </x:is>
      </x:c>
    </x:row>
    <x:row r="65" s="11" customFormat="1" ht="29" customHeight="1">
      <x:c r="A65" s="7" t="n">
        <x:v>64</x:v>
      </x:c>
      <x:c r="B65" s="7" t="n">
        <x:v>10</x:v>
      </x:c>
      <x:c r="C65" s="7" t="inlineStr">
        <x:is>
          <x:t xml:space="preserve">Mon</x:t>
        </x:is>
      </x:c>
      <x:c r="D65" s="7" t="inlineStr">
        <x:is>
          <x:t xml:space="preserve">Weekday</x:t>
        </x:is>
      </x:c>
      <x:c r="E65" s="7" t="n">
        <x:v>5</x:v>
      </x:c>
      <x:c r="F65" s="7" t="inlineStr">
        <x:is>
          <x:t xml:space="preserve">DP advanced, resilience, EKS concepts, design system, distributed transactions</x:t>
        </x:is>
      </x:c>
      <x:c r="G65" s="7" t="inlineStr">
        <x:is>
          <x:t xml:space="preserve">0/1 knapsack</x:t>
        </x:is>
      </x:c>
      <x:c r="H65" s="7" t="inlineStr">
        <x:is>
          <x:t xml:space="preserve">Circuit breaker tuning</x:t>
        </x:is>
      </x:c>
      <x:c r="I65" s="7" t="inlineStr">
        <x:is>
          <x:t xml:space="preserve">EKS concepts and trade-offs</x:t>
        </x:is>
      </x:c>
      <x:c r="J65" s="7" t="inlineStr">
        <x:is>
          <x:t xml:space="preserve">Design tokens</x:t>
        </x:is>
      </x:c>
      <x:c r="K65" s="7" t="inlineStr">
        <x:is>
          <x:t xml:space="preserve">Distributed transactions</x:t>
        </x:is>
      </x:c>
      <x:c r="L65" s="7" t="inlineStr">
        <x:is>
          <x:t xml:space="preserve">Kubernetes notes matrix</x:t>
        </x:is>
      </x:c>
    </x:row>
    <x:row r="66" s="11" customFormat="1" ht="29" customHeight="1">
      <x:c r="A66" s="7" t="n">
        <x:v>65</x:v>
      </x:c>
      <x:c r="B66" s="7" t="n">
        <x:v>10</x:v>
      </x:c>
      <x:c r="C66" s="7" t="inlineStr">
        <x:is>
          <x:t xml:space="preserve">Tue</x:t>
        </x:is>
      </x:c>
      <x:c r="D66" s="7" t="inlineStr">
        <x:is>
          <x:t xml:space="preserve">Weekday</x:t>
        </x:is>
      </x:c>
      <x:c r="E66" s="7" t="n">
        <x:v>5</x:v>
      </x:c>
      <x:c r="F66" s="7" t="inlineStr">
        <x:is>
          <x:t xml:space="preserve">DP advanced, resilience, EKS concepts, design system, distributed transactions</x:t>
        </x:is>
      </x:c>
      <x:c r="G66" s="7" t="inlineStr">
        <x:is>
          <x:t xml:space="preserve">LCS</x:t>
        </x:is>
      </x:c>
      <x:c r="H66" s="7" t="inlineStr">
        <x:is>
          <x:t xml:space="preserve">Retries, timeouts, fallbacks</x:t>
        </x:is>
      </x:c>
      <x:c r="I66" s="7" t="inlineStr">
        <x:is>
          <x:t xml:space="preserve">Kubernetes pods/services basics</x:t>
        </x:is>
      </x:c>
      <x:c r="J66" s="7" t="inlineStr">
        <x:is>
          <x:t xml:space="preserve">Compound components</x:t>
        </x:is>
      </x:c>
      <x:c r="K66" s="7" t="inlineStr">
        <x:is>
          <x:t xml:space="preserve">Saga choreography</x:t>
        </x:is>
      </x:c>
      <x:c r="L66" s="7" t="inlineStr">
        <x:is>
          <x:t xml:space="preserve">Retries/fallback patterns added</x:t>
        </x:is>
      </x:c>
    </x:row>
    <x:row r="67" s="11" customFormat="1" ht="29" customHeight="1">
      <x:c r="A67" s="7" t="n">
        <x:v>66</x:v>
      </x:c>
      <x:c r="B67" s="7" t="n">
        <x:v>10</x:v>
      </x:c>
      <x:c r="C67" s="7" t="inlineStr">
        <x:is>
          <x:t xml:space="preserve">Wed</x:t>
        </x:is>
      </x:c>
      <x:c r="D67" s="7" t="inlineStr">
        <x:is>
          <x:t xml:space="preserve">Weekday</x:t>
        </x:is>
      </x:c>
      <x:c r="E67" s="7" t="n">
        <x:v>5</x:v>
      </x:c>
      <x:c r="F67" s="7" t="inlineStr">
        <x:is>
          <x:t xml:space="preserve">DP advanced, resilience, EKS concepts, design system, distributed transactions</x:t>
        </x:is>
      </x:c>
      <x:c r="G67" s="7" t="inlineStr">
        <x:is>
          <x:t xml:space="preserve">Edit distance</x:t>
        </x:is>
      </x:c>
      <x:c r="H67" s="7" t="inlineStr">
        <x:is>
          <x:t xml:space="preserve">Bulkhead and rate limiting</x:t>
        </x:is>
      </x:c>
      <x:c r="I67" s="7" t="inlineStr">
        <x:is>
          <x:t xml:space="preserve">Ingress/config maps/secrets</x:t>
        </x:is>
      </x:c>
      <x:c r="J67" s="7" t="inlineStr">
        <x:is>
          <x:t xml:space="preserve">Custom hook library</x:t>
        </x:is>
      </x:c>
      <x:c r="K67" s="7" t="inlineStr">
        <x:is>
          <x:t xml:space="preserve">Saga orchestration</x:t>
        </x:is>
      </x:c>
      <x:c r="L67" s="7" t="inlineStr">
        <x:is>
          <x:t xml:space="preserve">Rate limiter notes</x:t>
        </x:is>
      </x:c>
    </x:row>
    <x:row r="68" s="11" customFormat="1" ht="29" customHeight="1">
      <x:c r="A68" s="7" t="n">
        <x:v>67</x:v>
      </x:c>
      <x:c r="B68" s="7" t="n">
        <x:v>10</x:v>
      </x:c>
      <x:c r="C68" s="7" t="inlineStr">
        <x:is>
          <x:t xml:space="preserve">Thu</x:t>
        </x:is>
      </x:c>
      <x:c r="D68" s="7" t="inlineStr">
        <x:is>
          <x:t xml:space="preserve">Weekday</x:t>
        </x:is>
      </x:c>
      <x:c r="E68" s="7" t="n">
        <x:v>5</x:v>
      </x:c>
      <x:c r="F68" s="7" t="inlineStr">
        <x:is>
          <x:t xml:space="preserve">DP advanced, resilience, EKS concepts, design system, distributed transactions</x:t>
        </x:is>
      </x:c>
      <x:c r="G68" s="7" t="inlineStr">
        <x:is>
          <x:t xml:space="preserve">DP on strings/grid</x:t>
        </x:is>
      </x:c>
      <x:c r="H68" s="7" t="inlineStr">
        <x:is>
          <x:t xml:space="preserve">Load testing basics and performance profiling</x:t>
        </x:is>
      </x:c>
      <x:c r="I68" s="7" t="inlineStr">
        <x:is>
          <x:t xml:space="preserve">ECS vs EKS decision</x:t>
        </x:is>
      </x:c>
      <x:c r="J68" s="7" t="inlineStr">
        <x:is>
          <x:t xml:space="preserve">Component docs / Storybook-style approach</x:t>
        </x:is>
      </x:c>
      <x:c r="K68" s="7" t="inlineStr">
        <x:is>
          <x:t xml:space="preserve">CQRS and event sourcing intro</x:t>
        </x:is>
      </x:c>
      <x:c r="L68" s="7" t="inlineStr">
        <x:is>
          <x:t xml:space="preserve">Decision memo for ECS vs EKS</x:t>
        </x:is>
      </x:c>
    </x:row>
    <x:row r="69" s="11" customFormat="1" ht="29" customHeight="1">
      <x:c r="A69" s="7" t="n">
        <x:v>68</x:v>
      </x:c>
      <x:c r="B69" s="7" t="n">
        <x:v>10</x:v>
      </x:c>
      <x:c r="C69" s="7" t="inlineStr">
        <x:is>
          <x:t xml:space="preserve">Fri</x:t>
        </x:is>
      </x:c>
      <x:c r="D69" s="7" t="inlineStr">
        <x:is>
          <x:t xml:space="preserve">Weekday</x:t>
        </x:is>
      </x:c>
      <x:c r="E69" s="7" t="n">
        <x:v>5</x:v>
      </x:c>
      <x:c r="F69" s="7" t="inlineStr">
        <x:is>
          <x:t xml:space="preserve">DP advanced, resilience, EKS concepts, design system, distributed transactions</x:t>
        </x:is>
      </x:c>
      <x:c r="G69" s="7" t="inlineStr">
        <x:is>
          <x:t xml:space="preserve">Greedy interval crossover</x:t>
        </x:is>
      </x:c>
      <x:c r="H69" s="7" t="inlineStr">
        <x:is>
          <x:t xml:space="preserve">Graceful degradation patterns</x:t>
        </x:is>
      </x:c>
      <x:c r="I69" s="7" t="inlineStr">
        <x:is>
          <x:t xml:space="preserve">Container orchestration recap</x:t>
        </x:is>
      </x:c>
      <x:c r="J69" s="7" t="inlineStr">
        <x:is>
          <x:t xml:space="preserve">Composition patterns</x:t>
        </x:is>
      </x:c>
      <x:c r="K69" s="7" t="inlineStr">
        <x:is>
          <x:t xml:space="preserve">Consistency trade-offs</x:t>
        </x:is>
      </x:c>
      <x:c r="L69" s="7" t="inlineStr">
        <x:is>
          <x:t xml:space="preserve">Document degradation strategy</x:t>
        </x:is>
      </x:c>
    </x:row>
    <x:row r="70" s="11" customFormat="1" ht="29" customHeight="1">
      <x:c r="A70" s="4" t="n">
        <x:v>69</x:v>
      </x:c>
      <x:c r="B70" s="4" t="n">
        <x:v>10</x:v>
      </x:c>
      <x:c r="C70" s="4" t="inlineStr">
        <x:is>
          <x:t xml:space="preserve">Sat</x:t>
        </x:is>
      </x:c>
      <x:c r="D70" s="4" t="inlineStr">
        <x:is>
          <x:t xml:space="preserve">Weekend</x:t>
        </x:is>
      </x:c>
      <x:c r="E70" s="4" t="n">
        <x:v>8</x:v>
      </x:c>
      <x:c r="F70" s="4" t="inlineStr">
        <x:is>
          <x:t xml:space="preserve">DP advanced, resilience, EKS concepts, design system, distributed transactions</x:t>
        </x:is>
      </x:c>
      <x:c r="G70" s="4" t="inlineStr">
        <x:is>
          <x:t xml:space="preserve">Weekend drill: advanced DP</x:t>
        </x:is>
      </x:c>
      <x:c r="H70" s="4" t="inlineStr">
        <x:is>
          <x:t xml:space="preserve">Resilience lab in Spring</x:t>
        </x:is>
      </x:c>
      <x:c r="I70" s="4" t="inlineStr">
        <x:is>
          <x:t xml:space="preserve">K8s walkthrough / compare with ECS</x:t>
        </x:is>
      </x:c>
      <x:c r="J70" s="4" t="inlineStr">
        <x:is>
          <x:t xml:space="preserve">Design system build</x:t>
        </x:is>
      </x:c>
      <x:c r="K70" s="4" t="inlineStr">
        <x:is>
          <x:t xml:space="preserve">Architecture review</x:t>
        </x:is>
      </x:c>
      <x:c r="L70" s="4" t="inlineStr">
        <x:is>
          <x:t xml:space="preserve">Milestone: resilient service patterns</x:t>
        </x:is>
      </x:c>
    </x:row>
    <x:row r="71" s="11" customFormat="1" ht="29" customHeight="1">
      <x:c r="A71" s="4" t="n">
        <x:v>70</x:v>
      </x:c>
      <x:c r="B71" s="4" t="n">
        <x:v>10</x:v>
      </x:c>
      <x:c r="C71" s="4" t="inlineStr">
        <x:is>
          <x:t xml:space="preserve">Sun</x:t>
        </x:is>
      </x:c>
      <x:c r="D71" s="4" t="inlineStr">
        <x:is>
          <x:t xml:space="preserve">Weekend</x:t>
        </x:is>
      </x:c>
      <x:c r="E71" s="4" t="n">
        <x:v>8</x:v>
      </x:c>
      <x:c r="F71" s="4" t="inlineStr">
        <x:is>
          <x:t xml:space="preserve">DP advanced, resilience, EKS concepts, design system, distributed transactions</x:t>
        </x:is>
      </x:c>
      <x:c r="G71" s="4" t="inlineStr">
        <x:is>
          <x:t xml:space="preserve">Weekly review + timed set</x:t>
        </x:is>
      </x:c>
      <x:c r="H71" s="4" t="inlineStr">
        <x:is>
          <x:t xml:space="preserve">Resilience recap</x:t>
        </x:is>
      </x:c>
      <x:c r="I71" s="4" t="inlineStr">
        <x:is>
          <x:t xml:space="preserve">Container recap</x:t>
        </x:is>
      </x:c>
      <x:c r="J71" s="4" t="inlineStr">
        <x:is>
          <x:t xml:space="preserve">Design-system recap</x:t>
        </x:is>
      </x:c>
      <x:c r="K71" s="4" t="inlineStr">
        <x:is>
          <x:t xml:space="preserve">Retrospective</x:t>
        </x:is>
      </x:c>
      <x:c r="L71" s="4" t="inlineStr">
        <x:is>
          <x:t xml:space="preserve">Update ADRs</x:t>
        </x:is>
      </x:c>
    </x:row>
    <x:row r="72" s="11" customFormat="1" ht="43.5" customHeight="1">
      <x:c r="A72" s="7" t="n">
        <x:v>71</x:v>
      </x:c>
      <x:c r="B72" s="7" t="n">
        <x:v>11</x:v>
      </x:c>
      <x:c r="C72" s="7" t="inlineStr">
        <x:is>
          <x:t xml:space="preserve">Mon</x:t>
        </x:is>
      </x:c>
      <x:c r="D72" s="7" t="inlineStr">
        <x:is>
          <x:t xml:space="preserve">Weekday</x:t>
        </x:is>
      </x:c>
      <x:c r="E72" s="7" t="n">
        <x:v>5</x:v>
      </x:c>
      <x:c r="F72" s="7" t="inlineStr">
        <x:is>
          <x:t xml:space="preserve">Greedy/intervals, architecture patterns in Java, cloud security, frontend architecture, threat modeling</x:t>
        </x:is>
      </x:c>
      <x:c r="G72" s="7" t="inlineStr">
        <x:is>
          <x:t xml:space="preserve">Jump Game</x:t>
        </x:is>
      </x:c>
      <x:c r="H72" s="7" t="inlineStr">
        <x:is>
          <x:t xml:space="preserve">Factory/strategy patterns refresher</x:t>
        </x:is>
      </x:c>
      <x:c r="I72" s="7" t="inlineStr">
        <x:is>
          <x:t xml:space="preserve">KMS encryption basics</x:t>
        </x:is>
      </x:c>
      <x:c r="J72" s="7" t="inlineStr">
        <x:is>
          <x:t xml:space="preserve">Frontend folder architecture</x:t>
        </x:is>
      </x:c>
      <x:c r="K72" s="7" t="inlineStr">
        <x:is>
          <x:t xml:space="preserve">Zero-trust and defense in depth</x:t>
        </x:is>
      </x:c>
      <x:c r="L72" s="7" t="inlineStr">
        <x:is>
          <x:t xml:space="preserve">Encrypt one secret / note encryption flows</x:t>
        </x:is>
      </x:c>
    </x:row>
    <x:row r="73" s="11" customFormat="1" ht="43.5" customHeight="1">
      <x:c r="A73" s="7" t="n">
        <x:v>72</x:v>
      </x:c>
      <x:c r="B73" s="7" t="n">
        <x:v>11</x:v>
      </x:c>
      <x:c r="C73" s="7" t="inlineStr">
        <x:is>
          <x:t xml:space="preserve">Tue</x:t>
        </x:is>
      </x:c>
      <x:c r="D73" s="7" t="inlineStr">
        <x:is>
          <x:t xml:space="preserve">Weekday</x:t>
        </x:is>
      </x:c>
      <x:c r="E73" s="7" t="n">
        <x:v>5</x:v>
      </x:c>
      <x:c r="F73" s="7" t="inlineStr">
        <x:is>
          <x:t xml:space="preserve">Greedy/intervals, architecture patterns in Java, cloud security, frontend architecture, threat modeling</x:t>
        </x:is>
      </x:c>
      <x:c r="G73" s="7" t="inlineStr">
        <x:is>
          <x:t xml:space="preserve">Meeting rooms / scheduling</x:t>
        </x:is>
      </x:c>
      <x:c r="H73" s="7" t="inlineStr">
        <x:is>
          <x:t xml:space="preserve">Immutability and value objects</x:t>
        </x:is>
      </x:c>
      <x:c r="I73" s="7" t="inlineStr">
        <x:is>
          <x:t xml:space="preserve">Secrets Manager / Parameter Store</x:t>
        </x:is>
      </x:c>
      <x:c r="J73" s="7" t="inlineStr">
        <x:is>
          <x:t xml:space="preserve">Route-level code splitting</x:t>
        </x:is>
      </x:c>
      <x:c r="K73" s="7" t="inlineStr">
        <x:is>
          <x:t xml:space="preserve">OWASP Top 10 overview</x:t>
        </x:is>
      </x:c>
      <x:c r="L73" s="7" t="inlineStr">
        <x:is>
          <x:t xml:space="preserve">Secret management checklist</x:t>
        </x:is>
      </x:c>
    </x:row>
    <x:row r="74" s="11" customFormat="1" ht="43.5" customHeight="1">
      <x:c r="A74" s="7" t="n">
        <x:v>73</x:v>
      </x:c>
      <x:c r="B74" s="7" t="n">
        <x:v>11</x:v>
      </x:c>
      <x:c r="C74" s="7" t="inlineStr">
        <x:is>
          <x:t xml:space="preserve">Wed</x:t>
        </x:is>
      </x:c>
      <x:c r="D74" s="7" t="inlineStr">
        <x:is>
          <x:t xml:space="preserve">Weekday</x:t>
        </x:is>
      </x:c>
      <x:c r="E74" s="7" t="n">
        <x:v>5</x:v>
      </x:c>
      <x:c r="F74" s="7" t="inlineStr">
        <x:is>
          <x:t xml:space="preserve">Greedy/intervals, architecture patterns in Java, cloud security, frontend architecture, threat modeling</x:t>
        </x:is>
      </x:c>
      <x:c r="G74" s="7" t="inlineStr">
        <x:is>
          <x:t xml:space="preserve">Merge intervals</x:t>
        </x:is>
      </x:c>
      <x:c r="H74" s="7" t="inlineStr">
        <x:is>
          <x:t xml:space="preserve">Clean architecture in Java</x:t>
        </x:is>
      </x:c>
      <x:c r="I74" s="7" t="inlineStr">
        <x:is>
          <x:t xml:space="preserve">Cognito / auth service concepts</x:t>
        </x:is>
      </x:c>
      <x:c r="J74" s="7" t="inlineStr">
        <x:is>
          <x:t xml:space="preserve">State at scale and query caching</x:t>
        </x:is>
      </x:c>
      <x:c r="K74" s="7" t="inlineStr">
        <x:is>
          <x:t xml:space="preserve">API security and token validation</x:t>
        </x:is>
      </x:c>
      <x:c r="L74" s="7" t="inlineStr">
        <x:is>
          <x:t xml:space="preserve">Threat model draft</x:t>
        </x:is>
      </x:c>
    </x:row>
    <x:row r="75" s="11" customFormat="1" ht="43.5" customHeight="1">
      <x:c r="A75" s="7" t="n">
        <x:v>74</x:v>
      </x:c>
      <x:c r="B75" s="7" t="n">
        <x:v>11</x:v>
      </x:c>
      <x:c r="C75" s="7" t="inlineStr">
        <x:is>
          <x:t xml:space="preserve">Thu</x:t>
        </x:is>
      </x:c>
      <x:c r="D75" s="7" t="inlineStr">
        <x:is>
          <x:t xml:space="preserve">Weekday</x:t>
        </x:is>
      </x:c>
      <x:c r="E75" s="7" t="n">
        <x:v>5</x:v>
      </x:c>
      <x:c r="F75" s="7" t="inlineStr">
        <x:is>
          <x:t xml:space="preserve">Greedy/intervals, architecture patterns in Java, cloud security, frontend architecture, threat modeling</x:t>
        </x:is>
      </x:c>
      <x:c r="G75" s="7" t="inlineStr">
        <x:is>
          <x:t xml:space="preserve">Non-overlapping intervals</x:t>
        </x:is>
      </x:c>
      <x:c r="H75" s="7" t="inlineStr">
        <x:is>
          <x:t xml:space="preserve">Hexagonal architecture</x:t>
        </x:is>
      </x:c>
      <x:c r="I75" s="7" t="inlineStr">
        <x:is>
          <x:t xml:space="preserve">WAF / Shield basics</x:t>
        </x:is>
      </x:c>
      <x:c r="J75" s="7" t="inlineStr">
        <x:is>
          <x:t xml:space="preserve">Error boundaries</x:t>
        </x:is>
      </x:c>
      <x:c r="K75" s="7" t="inlineStr">
        <x:is>
          <x:t xml:space="preserve">TLS, mTLS, private APIs</x:t>
        </x:is>
      </x:c>
      <x:c r="L75" s="7" t="inlineStr">
        <x:is>
          <x:t xml:space="preserve">Add error boundary</x:t>
        </x:is>
      </x:c>
    </x:row>
    <x:row r="76" s="11" customFormat="1" ht="43.5" customHeight="1">
      <x:c r="A76" s="7" t="n">
        <x:v>75</x:v>
      </x:c>
      <x:c r="B76" s="7" t="n">
        <x:v>11</x:v>
      </x:c>
      <x:c r="C76" s="7" t="inlineStr">
        <x:is>
          <x:t xml:space="preserve">Fri</x:t>
        </x:is>
      </x:c>
      <x:c r="D76" s="7" t="inlineStr">
        <x:is>
          <x:t xml:space="preserve">Weekday</x:t>
        </x:is>
      </x:c>
      <x:c r="E76" s="7" t="n">
        <x:v>5</x:v>
      </x:c>
      <x:c r="F76" s="7" t="inlineStr">
        <x:is>
          <x:t xml:space="preserve">Greedy/intervals, architecture patterns in Java, cloud security, frontend architecture, threat modeling</x:t>
        </x:is>
      </x:c>
      <x:c r="G76" s="7" t="inlineStr">
        <x:is>
          <x:t xml:space="preserve">Task scheduler / PQ greedy mix</x:t>
        </x:is>
      </x:c>
      <x:c r="H76" s="7" t="inlineStr">
        <x:is>
          <x:t xml:space="preserve">Module boundaries and modular monolith vs microservice</x:t>
        </x:is>
      </x:c>
      <x:c r="I76" s="7" t="inlineStr">
        <x:is>
          <x:t xml:space="preserve">Least-privilege IAM review</x:t>
        </x:is>
      </x:c>
      <x:c r="J76" s="7" t="inlineStr">
        <x:is>
          <x:t xml:space="preserve">Build optimization</x:t>
        </x:is>
      </x:c>
      <x:c r="K76" s="7" t="inlineStr">
        <x:is>
          <x:t xml:space="preserve">Threat modeling exercise</x:t>
        </x:is>
      </x:c>
      <x:c r="L76" s="7" t="inlineStr">
        <x:is>
          <x:t xml:space="preserve">IAM review complete</x:t>
        </x:is>
      </x:c>
    </x:row>
    <x:row r="77" s="11" customFormat="1" ht="43.5" customHeight="1">
      <x:c r="A77" s="4" t="n">
        <x:v>76</x:v>
      </x:c>
      <x:c r="B77" s="4" t="n">
        <x:v>11</x:v>
      </x:c>
      <x:c r="C77" s="4" t="inlineStr">
        <x:is>
          <x:t xml:space="preserve">Sat</x:t>
        </x:is>
      </x:c>
      <x:c r="D77" s="4" t="inlineStr">
        <x:is>
          <x:t xml:space="preserve">Weekend</x:t>
        </x:is>
      </x:c>
      <x:c r="E77" s="4" t="n">
        <x:v>8</x:v>
      </x:c>
      <x:c r="F77" s="4" t="inlineStr">
        <x:is>
          <x:t xml:space="preserve">Greedy/intervals, architecture patterns in Java, cloud security, frontend architecture, threat modeling</x:t>
        </x:is>
      </x:c>
      <x:c r="G77" s="4" t="inlineStr">
        <x:is>
          <x:t xml:space="preserve">Weekend drill: greedy/intervals</x:t>
        </x:is>
      </x:c>
      <x:c r="H77" s="4" t="inlineStr">
        <x:is>
          <x:t xml:space="preserve">Refactor service with architecture pattern</x:t>
        </x:is>
      </x:c>
      <x:c r="I77" s="4" t="inlineStr">
        <x:is>
          <x:t xml:space="preserve">Security hardening lab</x:t>
        </x:is>
      </x:c>
      <x:c r="J77" s="4" t="inlineStr">
        <x:is>
          <x:t xml:space="preserve">Frontend architecture refactor</x:t>
        </x:is>
      </x:c>
      <x:c r="K77" s="4" t="inlineStr">
        <x:is>
          <x:t xml:space="preserve">Security review</x:t>
        </x:is>
      </x:c>
      <x:c r="L77" s="4" t="inlineStr">
        <x:is>
          <x:t xml:space="preserve">Milestone: security baseline</x:t>
        </x:is>
      </x:c>
    </x:row>
    <x:row r="78" s="11" customFormat="1" ht="43.5" customHeight="1">
      <x:c r="A78" s="4" t="n">
        <x:v>77</x:v>
      </x:c>
      <x:c r="B78" s="4" t="n">
        <x:v>11</x:v>
      </x:c>
      <x:c r="C78" s="4" t="inlineStr">
        <x:is>
          <x:t xml:space="preserve">Sun</x:t>
        </x:is>
      </x:c>
      <x:c r="D78" s="4" t="inlineStr">
        <x:is>
          <x:t xml:space="preserve">Weekend</x:t>
        </x:is>
      </x:c>
      <x:c r="E78" s="4" t="n">
        <x:v>8</x:v>
      </x:c>
      <x:c r="F78" s="4" t="inlineStr">
        <x:is>
          <x:t xml:space="preserve">Greedy/intervals, architecture patterns in Java, cloud security, frontend architecture, threat modeling</x:t>
        </x:is>
      </x:c>
      <x:c r="G78" s="4" t="inlineStr">
        <x:is>
          <x:t xml:space="preserve">Weekly review + timed set</x:t>
        </x:is>
      </x:c>
      <x:c r="H78" s="4" t="inlineStr">
        <x:is>
          <x:t xml:space="preserve">Pattern recap</x:t>
        </x:is>
      </x:c>
      <x:c r="I78" s="4" t="inlineStr">
        <x:is>
          <x:t xml:space="preserve">Security recap</x:t>
        </x:is>
      </x:c>
      <x:c r="J78" s="4" t="inlineStr">
        <x:is>
          <x:t xml:space="preserve">React architecture recap</x:t>
        </x:is>
      </x:c>
      <x:c r="K78" s="4" t="inlineStr">
        <x:is>
          <x:t xml:space="preserve">Retrospective</x:t>
        </x:is>
      </x:c>
      <x:c r="L78" s="4" t="inlineStr">
        <x:is>
          <x:t xml:space="preserve">Update security checklist</x:t>
        </x:is>
      </x:c>
    </x:row>
    <x:row r="79" s="11" customFormat="1" ht="29" customHeight="1">
      <x:c r="A79" s="7" t="n">
        <x:v>78</x:v>
      </x:c>
      <x:c r="B79" s="7" t="n">
        <x:v>12</x:v>
      </x:c>
      <x:c r="C79" s="7" t="inlineStr">
        <x:is>
          <x:t xml:space="preserve">Mon</x:t>
        </x:is>
      </x:c>
      <x:c r="D79" s="7" t="inlineStr">
        <x:is>
          <x:t xml:space="preserve">Weekday</x:t>
        </x:is>
      </x:c>
      <x:c r="E79" s="7" t="n">
        <x:v>5</x:v>
      </x:c>
      <x:c r="F79" s="7" t="inlineStr">
        <x:is>
          <x:t xml:space="preserve">Backtracking/bit/math, CI/CD, IaC, build tooling, DevSecOps</x:t>
        </x:is>
      </x:c>
      <x:c r="G79" s="7" t="inlineStr">
        <x:is>
          <x:t xml:space="preserve">Subsets</x:t>
        </x:is>
      </x:c>
      <x:c r="H79" s="7" t="inlineStr">
        <x:is>
          <x:t xml:space="preserve">Maven lifecycle and plugins</x:t>
        </x:is>
      </x:c>
      <x:c r="I79" s="7" t="inlineStr">
        <x:is>
          <x:t xml:space="preserve">CodeBuild / CodePipeline overview</x:t>
        </x:is>
      </x:c>
      <x:c r="J79" s="7" t="inlineStr">
        <x:is>
          <x:t xml:space="preserve">Vite build pipeline</x:t>
        </x:is>
      </x:c>
      <x:c r="K79" s="7" t="inlineStr">
        <x:is>
          <x:t xml:space="preserve">CI/CD principles</x:t>
        </x:is>
      </x:c>
      <x:c r="L79" s="7" t="inlineStr">
        <x:is>
          <x:t xml:space="preserve">Pipeline plan drafted</x:t>
        </x:is>
      </x:c>
    </x:row>
    <x:row r="80" s="11" customFormat="1" ht="29" customHeight="1">
      <x:c r="A80" s="7" t="n">
        <x:v>79</x:v>
      </x:c>
      <x:c r="B80" s="7" t="n">
        <x:v>12</x:v>
      </x:c>
      <x:c r="C80" s="7" t="inlineStr">
        <x:is>
          <x:t xml:space="preserve">Tue</x:t>
        </x:is>
      </x:c>
      <x:c r="D80" s="7" t="inlineStr">
        <x:is>
          <x:t xml:space="preserve">Weekday</x:t>
        </x:is>
      </x:c>
      <x:c r="E80" s="7" t="n">
        <x:v>5</x:v>
      </x:c>
      <x:c r="F80" s="7" t="inlineStr">
        <x:is>
          <x:t xml:space="preserve">Backtracking/bit/math, CI/CD, IaC, build tooling, DevSecOps</x:t>
        </x:is>
      </x:c>
      <x:c r="G80" s="7" t="inlineStr">
        <x:is>
          <x:t xml:space="preserve">Permutations</x:t>
        </x:is>
      </x:c>
      <x:c r="H80" s="7" t="inlineStr">
        <x:is>
          <x:t xml:space="preserve">GitHub Actions or Jenkins basics</x:t>
        </x:is>
      </x:c>
      <x:c r="I80" s="7" t="inlineStr">
        <x:is>
          <x:t xml:space="preserve">Pipeline for Java app</x:t>
        </x:is>
      </x:c>
      <x:c r="J80" s="7" t="inlineStr">
        <x:is>
          <x:t xml:space="preserve">Lint / format / pre-commit hooks</x:t>
        </x:is>
      </x:c>
      <x:c r="K80" s="7" t="inlineStr">
        <x:is>
          <x:t xml:space="preserve">Artifact promotion</x:t>
        </x:is>
      </x:c>
      <x:c r="L80" s="7" t="inlineStr">
        <x:is>
          <x:t xml:space="preserve">Backend CI working</x:t>
        </x:is>
      </x:c>
    </x:row>
    <x:row r="81" s="11" customFormat="1" ht="29" customHeight="1">
      <x:c r="A81" s="7" t="n">
        <x:v>80</x:v>
      </x:c>
      <x:c r="B81" s="7" t="n">
        <x:v>12</x:v>
      </x:c>
      <x:c r="C81" s="7" t="inlineStr">
        <x:is>
          <x:t xml:space="preserve">Wed</x:t>
        </x:is>
      </x:c>
      <x:c r="D81" s="7" t="inlineStr">
        <x:is>
          <x:t xml:space="preserve">Weekday</x:t>
        </x:is>
      </x:c>
      <x:c r="E81" s="7" t="n">
        <x:v>5</x:v>
      </x:c>
      <x:c r="F81" s="7" t="inlineStr">
        <x:is>
          <x:t xml:space="preserve">Backtracking/bit/math, CI/CD, IaC, build tooling, DevSecOps</x:t>
        </x:is>
      </x:c>
      <x:c r="G81" s="7" t="inlineStr">
        <x:is>
          <x:t xml:space="preserve">Combination Sum</x:t>
        </x:is>
      </x:c>
      <x:c r="H81" s="7" t="inlineStr">
        <x:is>
          <x:t xml:space="preserve">Testing strategy and coverage</x:t>
        </x:is>
      </x:c>
      <x:c r="I81" s="7" t="inlineStr">
        <x:is>
          <x:t xml:space="preserve">CloudFormation basics</x:t>
        </x:is>
      </x:c>
      <x:c r="J81" s="7" t="inlineStr">
        <x:is>
          <x:t xml:space="preserve">Environment config patterns</x:t>
        </x:is>
      </x:c>
      <x:c r="K81" s="7" t="inlineStr">
        <x:is>
          <x:t xml:space="preserve">Branch strategy and release flow</x:t>
        </x:is>
      </x:c>
      <x:c r="L81" s="7" t="inlineStr">
        <x:is>
          <x:t xml:space="preserve">Infra template created</x:t>
        </x:is>
      </x:c>
    </x:row>
    <x:row r="82" s="11" customFormat="1" ht="29" customHeight="1">
      <x:c r="A82" s="7" t="n">
        <x:v>81</x:v>
      </x:c>
      <x:c r="B82" s="7" t="n">
        <x:v>12</x:v>
      </x:c>
      <x:c r="C82" s="7" t="inlineStr">
        <x:is>
          <x:t xml:space="preserve">Thu</x:t>
        </x:is>
      </x:c>
      <x:c r="D82" s="7" t="inlineStr">
        <x:is>
          <x:t xml:space="preserve">Weekday</x:t>
        </x:is>
      </x:c>
      <x:c r="E82" s="7" t="n">
        <x:v>5</x:v>
      </x:c>
      <x:c r="F82" s="7" t="inlineStr">
        <x:is>
          <x:t xml:space="preserve">Backtracking/bit/math, CI/CD, IaC, build tooling, DevSecOps</x:t>
        </x:is>
      </x:c>
      <x:c r="G82" s="7" t="inlineStr">
        <x:is>
          <x:t xml:space="preserve">N-Queens / Word Search</x:t>
        </x:is>
      </x:c>
      <x:c r="H82" s="7" t="inlineStr">
        <x:is>
          <x:t xml:space="preserve">Jacoco / Sonar basics</x:t>
        </x:is>
      </x:c>
      <x:c r="I82" s="7" t="inlineStr">
        <x:is>
          <x:t xml:space="preserve">Terraform basics and modules</x:t>
        </x:is>
      </x:c>
      <x:c r="J82" s="7" t="inlineStr">
        <x:is>
          <x:t xml:space="preserve">Bundle analysis</x:t>
        </x:is>
      </x:c>
      <x:c r="K82" s="7" t="inlineStr">
        <x:is>
          <x:t xml:space="preserve">Secret scanning and supply-chain basics</x:t>
        </x:is>
      </x:c>
      <x:c r="L82" s="7" t="inlineStr">
        <x:is>
          <x:t xml:space="preserve">Frontend CI and quality checks</x:t>
        </x:is>
      </x:c>
    </x:row>
    <x:row r="83" s="11" customFormat="1" ht="29" customHeight="1">
      <x:c r="A83" s="7" t="n">
        <x:v>82</x:v>
      </x:c>
      <x:c r="B83" s="7" t="n">
        <x:v>12</x:v>
      </x:c>
      <x:c r="C83" s="7" t="inlineStr">
        <x:is>
          <x:t xml:space="preserve">Fri</x:t>
        </x:is>
      </x:c>
      <x:c r="D83" s="7" t="inlineStr">
        <x:is>
          <x:t xml:space="preserve">Weekday</x:t>
        </x:is>
      </x:c>
      <x:c r="E83" s="7" t="n">
        <x:v>5</x:v>
      </x:c>
      <x:c r="F83" s="7" t="inlineStr">
        <x:is>
          <x:t xml:space="preserve">Backtracking/bit/math, CI/CD, IaC, build tooling, DevSecOps</x:t>
        </x:is>
      </x:c>
      <x:c r="G83" s="7" t="inlineStr">
        <x:is>
          <x:t xml:space="preserve">Bit manipulation intro</x:t>
        </x:is>
      </x:c>
      <x:c r="H83" s="7" t="inlineStr">
        <x:is>
          <x:t xml:space="preserve">Versioning and release management</x:t>
        </x:is>
      </x:c>
      <x:c r="I83" s="7" t="inlineStr">
        <x:is>
          <x:t xml:space="preserve">IaC state, drift, plan/apply</x:t>
        </x:is>
      </x:c>
      <x:c r="J83" s="7" t="inlineStr">
        <x:is>
          <x:t xml:space="preserve">Source maps and frontend monitoring</x:t>
        </x:is>
      </x:c>
      <x:c r="K83" s="7" t="inlineStr">
        <x:is>
          <x:t xml:space="preserve">DevSecOps checklist</x:t>
        </x:is>
      </x:c>
      <x:c r="L83" s="7" t="inlineStr">
        <x:is>
          <x:t xml:space="preserve">IaC review complete</x:t>
        </x:is>
      </x:c>
    </x:row>
    <x:row r="84" s="11" customFormat="1" ht="29" customHeight="1">
      <x:c r="A84" s="4" t="n">
        <x:v>83</x:v>
      </x:c>
      <x:c r="B84" s="4" t="n">
        <x:v>12</x:v>
      </x:c>
      <x:c r="C84" s="4" t="inlineStr">
        <x:is>
          <x:t xml:space="preserve">Sat</x:t>
        </x:is>
      </x:c>
      <x:c r="D84" s="4" t="inlineStr">
        <x:is>
          <x:t xml:space="preserve">Weekend</x:t>
        </x:is>
      </x:c>
      <x:c r="E84" s="4" t="n">
        <x:v>8</x:v>
      </x:c>
      <x:c r="F84" s="4" t="inlineStr">
        <x:is>
          <x:t xml:space="preserve">Backtracking/bit/math, CI/CD, IaC, build tooling, DevSecOps</x:t>
        </x:is>
      </x:c>
      <x:c r="G84" s="4" t="inlineStr">
        <x:is>
          <x:t xml:space="preserve">Weekend drill: backtracking/bit</x:t>
        </x:is>
      </x:c>
      <x:c r="H84" s="4" t="inlineStr">
        <x:is>
          <x:t xml:space="preserve">Set up CI for backend</x:t>
        </x:is>
      </x:c>
      <x:c r="I84" s="4" t="inlineStr">
        <x:is>
          <x:t xml:space="preserve">IaC lab</x:t>
        </x:is>
      </x:c>
      <x:c r="J84" s="4" t="inlineStr">
        <x:is>
          <x:t xml:space="preserve">Frontend CI</x:t>
        </x:is>
      </x:c>
      <x:c r="K84" s="4" t="inlineStr">
        <x:is>
          <x:t xml:space="preserve">Pipeline review</x:t>
        </x:is>
      </x:c>
      <x:c r="L84" s="4" t="inlineStr">
        <x:is>
          <x:t xml:space="preserve">Milestone: automated build pipeline</x:t>
        </x:is>
      </x:c>
    </x:row>
    <x:row r="85" s="11" customFormat="1" ht="29" customHeight="1">
      <x:c r="A85" s="4" t="n">
        <x:v>84</x:v>
      </x:c>
      <x:c r="B85" s="4" t="n">
        <x:v>12</x:v>
      </x:c>
      <x:c r="C85" s="4" t="inlineStr">
        <x:is>
          <x:t xml:space="preserve">Sun</x:t>
        </x:is>
      </x:c>
      <x:c r="D85" s="4" t="inlineStr">
        <x:is>
          <x:t xml:space="preserve">Weekend</x:t>
        </x:is>
      </x:c>
      <x:c r="E85" s="4" t="n">
        <x:v>8</x:v>
      </x:c>
      <x:c r="F85" s="4" t="inlineStr">
        <x:is>
          <x:t xml:space="preserve">Backtracking/bit/math, CI/CD, IaC, build tooling, DevSecOps</x:t>
        </x:is>
      </x:c>
      <x:c r="G85" s="4" t="inlineStr">
        <x:is>
          <x:t xml:space="preserve">Weekly review + timed set</x:t>
        </x:is>
      </x:c>
      <x:c r="H85" s="4" t="inlineStr">
        <x:is>
          <x:t xml:space="preserve">Build-tool recap</x:t>
        </x:is>
      </x:c>
      <x:c r="I85" s="4" t="inlineStr">
        <x:is>
          <x:t xml:space="preserve">IaC recap</x:t>
        </x:is>
      </x:c>
      <x:c r="J85" s="4" t="inlineStr">
        <x:is>
          <x:t xml:space="preserve">Frontend-tooling recap</x:t>
        </x:is>
      </x:c>
      <x:c r="K85" s="4" t="inlineStr">
        <x:is>
          <x:t xml:space="preserve">Retrospective</x:t>
        </x:is>
      </x:c>
      <x:c r="L85" s="4" t="inlineStr">
        <x:is>
          <x:t xml:space="preserve">Update runbooks</x:t>
        </x:is>
      </x:c>
    </x:row>
    <x:row r="86" s="11" customFormat="1" ht="58" customHeight="1">
      <x:c r="A86" s="7" t="n">
        <x:v>85</x:v>
      </x:c>
      <x:c r="B86" s="7" t="n">
        <x:v>13</x:v>
      </x:c>
      <x:c r="C86" s="7" t="inlineStr">
        <x:is>
          <x:t xml:space="preserve">Mon</x:t>
        </x:is>
      </x:c>
      <x:c r="D86" s="7" t="inlineStr">
        <x:is>
          <x:t xml:space="preserve">Weekday</x:t>
        </x:is>
      </x:c>
      <x:c r="E86" s="7" t="n">
        <x:v>5</x:v>
      </x:c>
      <x:c r="F86" s="7" t="inlineStr">
        <x:is>
          <x:t xml:space="preserve">Mixed interview set, performance tuning, advanced networking, accessibility, cost/performance trade-offs</x:t>
        </x:is>
      </x:c>
      <x:c r="G86" s="7" t="inlineStr">
        <x:is>
          <x:t xml:space="preserve">Mixed medium set 1</x:t>
        </x:is>
      </x:c>
      <x:c r="H86" s="7" t="inlineStr">
        <x:is>
          <x:t xml:space="preserve">JFR / JMC basics</x:t>
        </x:is>
      </x:c>
      <x:c r="I86" s="7" t="inlineStr">
        <x:is>
          <x:t xml:space="preserve">Route 53 and DNS</x:t>
        </x:is>
      </x:c>
      <x:c r="J86" s="7" t="inlineStr">
        <x:is>
          <x:t xml:space="preserve">Semantic HTML</x:t>
        </x:is>
      </x:c>
      <x:c r="K86" s="7" t="inlineStr">
        <x:is>
          <x:t xml:space="preserve">Cost vs performance</x:t>
        </x:is>
      </x:c>
      <x:c r="L86" s="7" t="inlineStr">
        <x:is>
          <x:t xml:space="preserve">Record first performance baseline</x:t>
        </x:is>
      </x:c>
    </x:row>
    <x:row r="87" s="11" customFormat="1" ht="58" customHeight="1">
      <x:c r="A87" s="7" t="n">
        <x:v>86</x:v>
      </x:c>
      <x:c r="B87" s="7" t="n">
        <x:v>13</x:v>
      </x:c>
      <x:c r="C87" s="7" t="inlineStr">
        <x:is>
          <x:t xml:space="preserve">Tue</x:t>
        </x:is>
      </x:c>
      <x:c r="D87" s="7" t="inlineStr">
        <x:is>
          <x:t xml:space="preserve">Weekday</x:t>
        </x:is>
      </x:c>
      <x:c r="E87" s="7" t="n">
        <x:v>5</x:v>
      </x:c>
      <x:c r="F87" s="7" t="inlineStr">
        <x:is>
          <x:t xml:space="preserve">Mixed interview set, performance tuning, advanced networking, accessibility, cost/performance trade-offs</x:t>
        </x:is>
      </x:c>
      <x:c r="G87" s="7" t="inlineStr">
        <x:is>
          <x:t xml:space="preserve">Mixed medium set 2</x:t>
        </x:is>
      </x:c>
      <x:c r="H87" s="7" t="inlineStr">
        <x:is>
          <x:t xml:space="preserve">GC tuning flags</x:t>
        </x:is>
      </x:c>
      <x:c r="I87" s="7" t="inlineStr">
        <x:is>
          <x:t xml:space="preserve">CloudFront</x:t>
        </x:is>
      </x:c>
      <x:c r="J87" s="7" t="inlineStr">
        <x:is>
          <x:t xml:space="preserve">Keyboard navigation</x:t>
        </x:is>
      </x:c>
      <x:c r="K87" s="7" t="inlineStr">
        <x:is>
          <x:t xml:space="preserve">RTO/RPO</x:t>
        </x:is>
      </x:c>
      <x:c r="L87" s="7" t="inlineStr">
        <x:is>
          <x:t xml:space="preserve">CloudFront fronting app</x:t>
        </x:is>
      </x:c>
    </x:row>
    <x:row r="88" s="11" customFormat="1" ht="58" customHeight="1">
      <x:c r="A88" s="7" t="n">
        <x:v>87</x:v>
      </x:c>
      <x:c r="B88" s="7" t="n">
        <x:v>13</x:v>
      </x:c>
      <x:c r="C88" s="7" t="inlineStr">
        <x:is>
          <x:t xml:space="preserve">Wed</x:t>
        </x:is>
      </x:c>
      <x:c r="D88" s="7" t="inlineStr">
        <x:is>
          <x:t xml:space="preserve">Weekday</x:t>
        </x:is>
      </x:c>
      <x:c r="E88" s="7" t="n">
        <x:v>5</x:v>
      </x:c>
      <x:c r="F88" s="7" t="inlineStr">
        <x:is>
          <x:t xml:space="preserve">Mixed interview set, performance tuning, advanced networking, accessibility, cost/performance trade-offs</x:t>
        </x:is>
      </x:c>
      <x:c r="G88" s="7" t="inlineStr">
        <x:is>
          <x:t xml:space="preserve">Mixed medium set 3</x:t>
        </x:is>
      </x:c>
      <x:c r="H88" s="7" t="inlineStr">
        <x:is>
          <x:t xml:space="preserve">Heap/thread dump analysis</x:t>
        </x:is>
      </x:c>
      <x:c r="I88" s="7" t="inlineStr">
        <x:is>
          <x:t xml:space="preserve">ACM / HTTPS</x:t>
        </x:is>
      </x:c>
      <x:c r="J88" s="7" t="inlineStr">
        <x:is>
          <x:t xml:space="preserve">ARIA and labels</x:t>
        </x:is>
      </x:c>
      <x:c r="K88" s="7" t="inlineStr">
        <x:is>
          <x:t xml:space="preserve">Multi-AZ vs multi-region</x:t>
        </x:is>
      </x:c>
      <x:c r="L88" s="7" t="inlineStr">
        <x:is>
          <x:t xml:space="preserve">Accessibility checklist pass 1</x:t>
        </x:is>
      </x:c>
    </x:row>
    <x:row r="89" s="11" customFormat="1" ht="58" customHeight="1">
      <x:c r="A89" s="7" t="n">
        <x:v>88</x:v>
      </x:c>
      <x:c r="B89" s="7" t="n">
        <x:v>13</x:v>
      </x:c>
      <x:c r="C89" s="7" t="inlineStr">
        <x:is>
          <x:t xml:space="preserve">Thu</x:t>
        </x:is>
      </x:c>
      <x:c r="D89" s="7" t="inlineStr">
        <x:is>
          <x:t xml:space="preserve">Weekday</x:t>
        </x:is>
      </x:c>
      <x:c r="E89" s="7" t="n">
        <x:v>5</x:v>
      </x:c>
      <x:c r="F89" s="7" t="inlineStr">
        <x:is>
          <x:t xml:space="preserve">Mixed interview set, performance tuning, advanced networking, accessibility, cost/performance trade-offs</x:t>
        </x:is>
      </x:c>
      <x:c r="G89" s="7" t="inlineStr">
        <x:is>
          <x:t xml:space="preserve">Mixed medium set 4</x:t>
        </x:is>
      </x:c>
      <x:c r="H89" s="7" t="inlineStr">
        <x:is>
          <x:t xml:space="preserve">Connection and thread-pool tuning</x:t>
        </x:is>
      </x:c>
      <x:c r="I89" s="7" t="inlineStr">
        <x:is>
          <x:t xml:space="preserve">VPC endpoints / PrivateLink</x:t>
        </x:is>
      </x:c>
      <x:c r="J89" s="7" t="inlineStr">
        <x:is>
          <x:t xml:space="preserve">Performance budgets</x:t>
        </x:is>
      </x:c>
      <x:c r="K89" s="7" t="inlineStr">
        <x:is>
          <x:t xml:space="preserve">Scaling trade-offs</x:t>
        </x:is>
      </x:c>
      <x:c r="L89" s="7" t="inlineStr">
        <x:is>
          <x:t xml:space="preserve">Private connectivity notes</x:t>
        </x:is>
      </x:c>
    </x:row>
    <x:row r="90" s="11" customFormat="1" ht="58" customHeight="1">
      <x:c r="A90" s="7" t="n">
        <x:v>89</x:v>
      </x:c>
      <x:c r="B90" s="7" t="n">
        <x:v>13</x:v>
      </x:c>
      <x:c r="C90" s="7" t="inlineStr">
        <x:is>
          <x:t xml:space="preserve">Fri</x:t>
        </x:is>
      </x:c>
      <x:c r="D90" s="7" t="inlineStr">
        <x:is>
          <x:t xml:space="preserve">Weekday</x:t>
        </x:is>
      </x:c>
      <x:c r="E90" s="7" t="n">
        <x:v>5</x:v>
      </x:c>
      <x:c r="F90" s="7" t="inlineStr">
        <x:is>
          <x:t xml:space="preserve">Mixed interview set, performance tuning, advanced networking, accessibility, cost/performance trade-offs</x:t>
        </x:is>
      </x:c>
      <x:c r="G90" s="7" t="inlineStr">
        <x:is>
          <x:t xml:space="preserve">Mixed medium set 5</x:t>
        </x:is>
      </x:c>
      <x:c r="H90" s="7" t="inlineStr">
        <x:is>
          <x:t xml:space="preserve">DB/query profiling</x:t>
        </x:is>
      </x:c>
      <x:c r="I90" s="7" t="inlineStr">
        <x:is>
          <x:t xml:space="preserve">Cost explorer / cost optimization review</x:t>
        </x:is>
      </x:c>
      <x:c r="J90" s="7" t="inlineStr">
        <x:is>
          <x:t xml:space="preserve">Lighthouse audit</x:t>
        </x:is>
      </x:c>
      <x:c r="K90" s="7" t="inlineStr">
        <x:is>
          <x:t xml:space="preserve">Cost optimization levers</x:t>
        </x:is>
      </x:c>
      <x:c r="L90" s="7" t="inlineStr">
        <x:is>
          <x:t xml:space="preserve">Perf + cost review</x:t>
        </x:is>
      </x:c>
    </x:row>
    <x:row r="91" s="11" customFormat="1" ht="58" customHeight="1">
      <x:c r="A91" s="6" t="n">
        <x:v>90</x:v>
      </x:c>
      <x:c r="B91" s="6" t="n">
        <x:v>13</x:v>
      </x:c>
      <x:c r="C91" s="6" t="inlineStr">
        <x:is>
          <x:t xml:space="preserve">Sat</x:t>
        </x:is>
      </x:c>
      <x:c r="D91" s="6" t="inlineStr">
        <x:is>
          <x:t xml:space="preserve">Weekend</x:t>
        </x:is>
      </x:c>
      <x:c r="E91" s="6" t="n">
        <x:v>8</x:v>
      </x:c>
      <x:c r="F91" s="6" t="inlineStr">
        <x:is>
          <x:t xml:space="preserve">Mixed interview set, performance tuning, advanced networking, accessibility, cost/performance trade-offs</x:t>
        </x:is>
      </x:c>
      <x:c r="G91" s="6" t="inlineStr">
        <x:is>
          <x:t xml:space="preserve">Weekend timed DSA mock</x:t>
        </x:is>
      </x:c>
      <x:c r="H91" s="6" t="inlineStr">
        <x:is>
          <x:t xml:space="preserve">Performance tuning lab</x:t>
        </x:is>
      </x:c>
      <x:c r="I91" s="6" t="inlineStr">
        <x:is>
          <x:t xml:space="preserve">Global delivery lab</x:t>
        </x:is>
      </x:c>
      <x:c r="J91" s="6" t="inlineStr">
        <x:is>
          <x:t xml:space="preserve">Accessibility audit</x:t>
        </x:is>
      </x:c>
      <x:c r="K91" s="6" t="inlineStr">
        <x:is>
          <x:t xml:space="preserve">Well-Architected review</x:t>
        </x:is>
      </x:c>
      <x:c r="L91" s="6" t="inlineStr">
        <x:is>
          <x:t xml:space="preserve">Milestone: tuned and audited slice</x:t>
        </x:is>
      </x:c>
    </x:row>
    <x:row r="92" s="11" customFormat="1" ht="58" customHeight="1">
      <x:c r="A92" s="4" t="n">
        <x:v>91</x:v>
      </x:c>
      <x:c r="B92" s="4" t="n">
        <x:v>13</x:v>
      </x:c>
      <x:c r="C92" s="4" t="inlineStr">
        <x:is>
          <x:t xml:space="preserve">Sun</x:t>
        </x:is>
      </x:c>
      <x:c r="D92" s="4" t="inlineStr">
        <x:is>
          <x:t xml:space="preserve">Weekend</x:t>
        </x:is>
      </x:c>
      <x:c r="E92" s="4" t="n">
        <x:v>8</x:v>
      </x:c>
      <x:c r="F92" s="4" t="inlineStr">
        <x:is>
          <x:t xml:space="preserve">Mixed interview set, performance tuning, advanced networking, accessibility, cost/performance trade-offs</x:t>
        </x:is>
      </x:c>
      <x:c r="G92" s="4" t="inlineStr">
        <x:is>
          <x:t xml:space="preserve">Weekly review + mock corrections</x:t>
        </x:is>
      </x:c>
      <x:c r="H92" s="4" t="inlineStr">
        <x:is>
          <x:t xml:space="preserve">Performance recap</x:t>
        </x:is>
      </x:c>
      <x:c r="I92" s="4" t="inlineStr">
        <x:is>
          <x:t xml:space="preserve">Networking recap</x:t>
        </x:is>
      </x:c>
      <x:c r="J92" s="4" t="inlineStr">
        <x:is>
          <x:t xml:space="preserve">A11y recap</x:t>
        </x:is>
      </x:c>
      <x:c r="K92" s="4" t="inlineStr">
        <x:is>
          <x:t xml:space="preserve">Retrospective</x:t>
        </x:is>
      </x:c>
      <x:c r="L92" s="4" t="inlineStr">
        <x:is>
          <x:t xml:space="preserve">Update scorecard</x:t>
        </x:is>
      </x:c>
    </x:row>
    <x:row r="93" s="11" customFormat="1" ht="43.5" customHeight="1">
      <x:c r="A93" s="7" t="n">
        <x:v>92</x:v>
      </x:c>
      <x:c r="B93" s="7" t="n">
        <x:v>14</x:v>
      </x:c>
      <x:c r="C93" s="7" t="inlineStr">
        <x:is>
          <x:t xml:space="preserve">Mon</x:t>
        </x:is>
      </x:c>
      <x:c r="D93" s="7" t="inlineStr">
        <x:is>
          <x:t xml:space="preserve">Weekday</x:t>
        </x:is>
      </x:c>
      <x:c r="E93" s="7" t="n">
        <x:v>5</x:v>
      </x:c>
      <x:c r="F93" s="7" t="inlineStr">
        <x:is>
          <x:t xml:space="preserve">System-design implementation, HA/DR, frontend monitoring, stakeholder communication</x:t>
        </x:is>
      </x:c>
      <x:c r="G93" s="7" t="inlineStr">
        <x:is>
          <x:t xml:space="preserve">Design-focused DSA mix 1</x:t>
        </x:is>
      </x:c>
      <x:c r="H93" s="7" t="inlineStr">
        <x:is>
          <x:t xml:space="preserve">Implement rate limiter</x:t>
        </x:is>
      </x:c>
      <x:c r="I93" s="7" t="inlineStr">
        <x:is>
          <x:t xml:space="preserve">High-availability patterns</x:t>
        </x:is>
      </x:c>
      <x:c r="J93" s="7" t="inlineStr">
        <x:is>
          <x:t xml:space="preserve">Frontend error logging</x:t>
        </x:is>
      </x:c>
      <x:c r="K93" s="7" t="inlineStr">
        <x:is>
          <x:t xml:space="preserve">CAP trade-off exercise</x:t>
        </x:is>
      </x:c>
      <x:c r="L93" s="7" t="inlineStr">
        <x:is>
          <x:t xml:space="preserve">Rate limiter proof of concept</x:t>
        </x:is>
      </x:c>
    </x:row>
    <x:row r="94" s="11" customFormat="1" ht="43.5" customHeight="1">
      <x:c r="A94" s="7" t="n">
        <x:v>93</x:v>
      </x:c>
      <x:c r="B94" s="7" t="n">
        <x:v>14</x:v>
      </x:c>
      <x:c r="C94" s="7" t="inlineStr">
        <x:is>
          <x:t xml:space="preserve">Tue</x:t>
        </x:is>
      </x:c>
      <x:c r="D94" s="7" t="inlineStr">
        <x:is>
          <x:t xml:space="preserve">Weekday</x:t>
        </x:is>
      </x:c>
      <x:c r="E94" s="7" t="n">
        <x:v>5</x:v>
      </x:c>
      <x:c r="F94" s="7" t="inlineStr">
        <x:is>
          <x:t xml:space="preserve">System-design implementation, HA/DR, frontend monitoring, stakeholder communication</x:t>
        </x:is>
      </x:c>
      <x:c r="G94" s="7" t="inlineStr">
        <x:is>
          <x:t xml:space="preserve">Graph/DP mix</x:t>
        </x:is>
      </x:c>
      <x:c r="H94" s="7" t="inlineStr">
        <x:is>
          <x:t xml:space="preserve">Notification system design</x:t>
        </x:is>
      </x:c>
      <x:c r="I94" s="7" t="inlineStr">
        <x:is>
          <x:t xml:space="preserve">Backup and disaster recovery</x:t>
        </x:is>
      </x:c>
      <x:c r="J94" s="7" t="inlineStr">
        <x:is>
          <x:t xml:space="preserve">User analytics basics</x:t>
        </x:is>
      </x:c>
      <x:c r="K94" s="7" t="inlineStr">
        <x:is>
          <x:t xml:space="preserve">Blue-green vs canary</x:t>
        </x:is>
      </x:c>
      <x:c r="L94" s="7" t="inlineStr">
        <x:is>
          <x:t xml:space="preserve">DR strategy notes</x:t>
        </x:is>
      </x:c>
    </x:row>
    <x:row r="95" s="11" customFormat="1" ht="43.5" customHeight="1">
      <x:c r="A95" s="7" t="n">
        <x:v>94</x:v>
      </x:c>
      <x:c r="B95" s="7" t="n">
        <x:v>14</x:v>
      </x:c>
      <x:c r="C95" s="7" t="inlineStr">
        <x:is>
          <x:t xml:space="preserve">Wed</x:t>
        </x:is>
      </x:c>
      <x:c r="D95" s="7" t="inlineStr">
        <x:is>
          <x:t xml:space="preserve">Weekday</x:t>
        </x:is>
      </x:c>
      <x:c r="E95" s="7" t="n">
        <x:v>5</x:v>
      </x:c>
      <x:c r="F95" s="7" t="inlineStr">
        <x:is>
          <x:t xml:space="preserve">System-design implementation, HA/DR, frontend monitoring, stakeholder communication</x:t>
        </x:is>
      </x:c>
      <x:c r="G95" s="7" t="inlineStr">
        <x:is>
          <x:t xml:space="preserve">Interval/backtracking mix</x:t>
        </x:is>
      </x:c>
      <x:c r="H95" s="7" t="inlineStr">
        <x:is>
          <x:t xml:space="preserve">URL shortener design</x:t>
        </x:is>
      </x:c>
      <x:c r="I95" s="7" t="inlineStr">
        <x:is>
          <x:t xml:space="preserve">Autoscaling strategies</x:t>
        </x:is>
      </x:c>
      <x:c r="J95" s="7" t="inlineStr">
        <x:is>
          <x:t xml:space="preserve">Web Vitals monitoring</x:t>
        </x:is>
      </x:c>
      <x:c r="K95" s="7" t="inlineStr">
        <x:is>
          <x:t xml:space="preserve">Active-active vs active-passive</x:t>
        </x:is>
      </x:c>
      <x:c r="L95" s="7" t="inlineStr">
        <x:is>
          <x:t xml:space="preserve">Architecture diagram v1</x:t>
        </x:is>
      </x:c>
    </x:row>
    <x:row r="96" s="11" customFormat="1" ht="43.5" customHeight="1">
      <x:c r="A96" s="7" t="n">
        <x:v>95</x:v>
      </x:c>
      <x:c r="B96" s="7" t="n">
        <x:v>14</x:v>
      </x:c>
      <x:c r="C96" s="7" t="inlineStr">
        <x:is>
          <x:t xml:space="preserve">Thu</x:t>
        </x:is>
      </x:c>
      <x:c r="D96" s="7" t="inlineStr">
        <x:is>
          <x:t xml:space="preserve">Weekday</x:t>
        </x:is>
      </x:c>
      <x:c r="E96" s="7" t="n">
        <x:v>5</x:v>
      </x:c>
      <x:c r="F96" s="7" t="inlineStr">
        <x:is>
          <x:t xml:space="preserve">System-design implementation, HA/DR, frontend monitoring, stakeholder communication</x:t>
        </x:is>
      </x:c>
      <x:c r="G96" s="7" t="inlineStr">
        <x:is>
          <x:t xml:space="preserve">Timed mock</x:t>
        </x:is>
      </x:c>
      <x:c r="H96" s="7" t="inlineStr">
        <x:is>
          <x:t xml:space="preserve">File upload system design</x:t>
        </x:is>
      </x:c>
      <x:c r="I96" s="7" t="inlineStr">
        <x:is>
          <x:t xml:space="preserve">Database failover</x:t>
        </x:is>
      </x:c>
      <x:c r="J96" s="7" t="inlineStr">
        <x:is>
          <x:t xml:space="preserve">Feature flags</x:t>
        </x:is>
      </x:c>
      <x:c r="K96" s="7" t="inlineStr">
        <x:is>
          <x:t xml:space="preserve">Architecture decision records</x:t>
        </x:is>
      </x:c>
      <x:c r="L96" s="7" t="inlineStr">
        <x:is>
          <x:t xml:space="preserve">ADR set started</x:t>
        </x:is>
      </x:c>
    </x:row>
    <x:row r="97" s="11" customFormat="1" ht="43.5" customHeight="1">
      <x:c r="A97" s="7" t="n">
        <x:v>96</x:v>
      </x:c>
      <x:c r="B97" s="7" t="n">
        <x:v>14</x:v>
      </x:c>
      <x:c r="C97" s="7" t="inlineStr">
        <x:is>
          <x:t xml:space="preserve">Fri</x:t>
        </x:is>
      </x:c>
      <x:c r="D97" s="7" t="inlineStr">
        <x:is>
          <x:t xml:space="preserve">Weekday</x:t>
        </x:is>
      </x:c>
      <x:c r="E97" s="7" t="n">
        <x:v>5</x:v>
      </x:c>
      <x:c r="F97" s="7" t="inlineStr">
        <x:is>
          <x:t xml:space="preserve">System-design implementation, HA/DR, frontend monitoring, stakeholder communication</x:t>
        </x:is>
      </x:c>
      <x:c r="G97" s="7" t="inlineStr">
        <x:is>
          <x:t xml:space="preserve">Timed mock</x:t>
        </x:is>
      </x:c>
      <x:c r="H97" s="7" t="inlineStr">
        <x:is>
          <x:t xml:space="preserve">Payment system design</x:t>
        </x:is>
      </x:c>
      <x:c r="I97" s="7" t="inlineStr">
        <x:is>
          <x:t xml:space="preserve">Queue buffering and decoupling</x:t>
        </x:is>
      </x:c>
      <x:c r="J97" s="7" t="inlineStr">
        <x:is>
          <x:t xml:space="preserve">Distributed tracing across UI/API</x:t>
        </x:is>
      </x:c>
      <x:c r="K97" s="7" t="inlineStr">
        <x:is>
          <x:t xml:space="preserve">Stakeholder communication and trade-off presentation</x:t>
        </x:is>
      </x:c>
      <x:c r="L97" s="7" t="inlineStr">
        <x:is>
          <x:t xml:space="preserve">Prepare 5-minute design talk</x:t>
        </x:is>
      </x:c>
    </x:row>
    <x:row r="98" s="11" customFormat="1" ht="43.5" customHeight="1">
      <x:c r="A98" s="4" t="n">
        <x:v>97</x:v>
      </x:c>
      <x:c r="B98" s="4" t="n">
        <x:v>14</x:v>
      </x:c>
      <x:c r="C98" s="4" t="inlineStr">
        <x:is>
          <x:t xml:space="preserve">Sat</x:t>
        </x:is>
      </x:c>
      <x:c r="D98" s="4" t="inlineStr">
        <x:is>
          <x:t xml:space="preserve">Weekend</x:t>
        </x:is>
      </x:c>
      <x:c r="E98" s="4" t="n">
        <x:v>8</x:v>
      </x:c>
      <x:c r="F98" s="4" t="inlineStr">
        <x:is>
          <x:t xml:space="preserve">System-design implementation, HA/DR, frontend monitoring, stakeholder communication</x:t>
        </x:is>
      </x:c>
      <x:c r="G98" s="4" t="inlineStr">
        <x:is>
          <x:t xml:space="preserve">Weekend mock interview + design round</x:t>
        </x:is>
      </x:c>
      <x:c r="H98" s="4" t="inlineStr">
        <x:is>
          <x:t xml:space="preserve">Implement one design slice</x:t>
        </x:is>
      </x:c>
      <x:c r="I98" s="4" t="inlineStr">
        <x:is>
          <x:t xml:space="preserve">DR walkthrough</x:t>
        </x:is>
      </x:c>
      <x:c r="J98" s="4" t="inlineStr">
        <x:is>
          <x:t xml:space="preserve">Monitoring dashboard</x:t>
        </x:is>
      </x:c>
      <x:c r="K98" s="4" t="inlineStr">
        <x:is>
          <x:t xml:space="preserve">Architecture review</x:t>
        </x:is>
      </x:c>
      <x:c r="L98" s="4" t="inlineStr">
        <x:is>
          <x:t xml:space="preserve">Milestone: design and explain</x:t>
        </x:is>
      </x:c>
    </x:row>
    <x:row r="99" s="11" customFormat="1" ht="43.5" customHeight="1">
      <x:c r="A99" s="4" t="n">
        <x:v>98</x:v>
      </x:c>
      <x:c r="B99" s="4" t="n">
        <x:v>14</x:v>
      </x:c>
      <x:c r="C99" s="4" t="inlineStr">
        <x:is>
          <x:t xml:space="preserve">Sun</x:t>
        </x:is>
      </x:c>
      <x:c r="D99" s="4" t="inlineStr">
        <x:is>
          <x:t xml:space="preserve">Weekend</x:t>
        </x:is>
      </x:c>
      <x:c r="E99" s="4" t="n">
        <x:v>8</x:v>
      </x:c>
      <x:c r="F99" s="4" t="inlineStr">
        <x:is>
          <x:t xml:space="preserve">System-design implementation, HA/DR, frontend monitoring, stakeholder communication</x:t>
        </x:is>
      </x:c>
      <x:c r="G99" s="4" t="inlineStr">
        <x:is>
          <x:t xml:space="preserve">Weekly review + corrections</x:t>
        </x:is>
      </x:c>
      <x:c r="H99" s="4" t="inlineStr">
        <x:is>
          <x:t xml:space="preserve">System design recap</x:t>
        </x:is>
      </x:c>
      <x:c r="I99" s="4" t="inlineStr">
        <x:is>
          <x:t xml:space="preserve">HA/DR recap</x:t>
        </x:is>
      </x:c>
      <x:c r="J99" s="4" t="inlineStr">
        <x:is>
          <x:t xml:space="preserve">Monitoring recap</x:t>
        </x:is>
      </x:c>
      <x:c r="K99" s="4" t="inlineStr">
        <x:is>
          <x:t xml:space="preserve">Retrospective</x:t>
        </x:is>
      </x:c>
      <x:c r="L99" s="4" t="inlineStr">
        <x:is>
          <x:t xml:space="preserve">Update portfolio notes</x:t>
        </x:is>
      </x:c>
    </x:row>
    <x:row r="100" s="11" customFormat="1" ht="29" customHeight="1">
      <x:c r="A100" s="7" t="n">
        <x:v>99</x:v>
      </x:c>
      <x:c r="B100" s="7" t="n">
        <x:v>15</x:v>
      </x:c>
      <x:c r="C100" s="7" t="inlineStr">
        <x:is>
          <x:t xml:space="preserve">Mon</x:t>
        </x:is>
      </x:c>
      <x:c r="D100" s="7" t="inlineStr">
        <x:is>
          <x:t xml:space="preserve">Weekday</x:t>
        </x:is>
      </x:c>
      <x:c r="E100" s="7" t="n">
        <x:v>5</x:v>
      </x:c>
      <x:c r="F100" s="7" t="inlineStr">
        <x:is>
          <x:t xml:space="preserve">GenAI basics, LLM integration, RAG, chat UI, AI architecture and governance</x:t>
        </x:is>
      </x:c>
      <x:c r="G100" s="7" t="inlineStr">
        <x:is>
          <x:t xml:space="preserve">Weak-area DSA set 1</x:t>
        </x:is>
      </x:c>
      <x:c r="H100" s="7" t="inlineStr">
        <x:is>
          <x:t xml:space="preserve">Integrate an LLM API from Java</x:t>
        </x:is>
      </x:c>
      <x:c r="I100" s="7" t="inlineStr">
        <x:is>
          <x:t xml:space="preserve">S3 knowledge-base basics</x:t>
        </x:is>
      </x:c>
      <x:c r="J100" s="7" t="inlineStr">
        <x:is>
          <x:t xml:space="preserve">Chat UI skeleton</x:t>
        </x:is>
      </x:c>
      <x:c r="K100" s="7" t="inlineStr">
        <x:is>
          <x:t xml:space="preserve">Prompt engineering basics</x:t>
        </x:is>
      </x:c>
      <x:c r="L100" s="7" t="inlineStr">
        <x:is>
          <x:t xml:space="preserve">Hello-world AI endpoint</x:t>
        </x:is>
      </x:c>
    </x:row>
    <x:row r="101" s="11" customFormat="1" ht="29" customHeight="1">
      <x:c r="A101" s="7" t="n">
        <x:v>100</x:v>
      </x:c>
      <x:c r="B101" s="7" t="n">
        <x:v>15</x:v>
      </x:c>
      <x:c r="C101" s="7" t="inlineStr">
        <x:is>
          <x:t xml:space="preserve">Tue</x:t>
        </x:is>
      </x:c>
      <x:c r="D101" s="7" t="inlineStr">
        <x:is>
          <x:t xml:space="preserve">Weekday</x:t>
        </x:is>
      </x:c>
      <x:c r="E101" s="7" t="n">
        <x:v>5</x:v>
      </x:c>
      <x:c r="F101" s="7" t="inlineStr">
        <x:is>
          <x:t xml:space="preserve">GenAI basics, LLM integration, RAG, chat UI, AI architecture and governance</x:t>
        </x:is>
      </x:c>
      <x:c r="G101" s="7" t="inlineStr">
        <x:is>
          <x:t xml:space="preserve">Weak-area DSA set 2</x:t>
        </x:is>
      </x:c>
      <x:c r="H101" s="7" t="inlineStr">
        <x:is>
          <x:t xml:space="preserve">Embeddings and vector DB concepts</x:t>
        </x:is>
      </x:c>
      <x:c r="I101" s="7" t="inlineStr">
        <x:is>
          <x:t xml:space="preserve">Document ingestion pipeline</x:t>
        </x:is>
      </x:c>
      <x:c r="J101" s="7" t="inlineStr">
        <x:is>
          <x:t xml:space="preserve">Streaming response UI</x:t>
        </x:is>
      </x:c>
      <x:c r="K101" s="7" t="inlineStr">
        <x:is>
          <x:t xml:space="preserve">RAG architecture</x:t>
        </x:is>
      </x:c>
      <x:c r="L101" s="7" t="inlineStr">
        <x:is>
          <x:t xml:space="preserve">Document ingestion flow drafted</x:t>
        </x:is>
      </x:c>
    </x:row>
    <x:row r="102" s="11" customFormat="1" ht="29" customHeight="1">
      <x:c r="A102" s="7" t="n">
        <x:v>101</x:v>
      </x:c>
      <x:c r="B102" s="7" t="n">
        <x:v>15</x:v>
      </x:c>
      <x:c r="C102" s="7" t="inlineStr">
        <x:is>
          <x:t xml:space="preserve">Wed</x:t>
        </x:is>
      </x:c>
      <x:c r="D102" s="7" t="inlineStr">
        <x:is>
          <x:t xml:space="preserve">Weekday</x:t>
        </x:is>
      </x:c>
      <x:c r="E102" s="7" t="n">
        <x:v>5</x:v>
      </x:c>
      <x:c r="F102" s="7" t="inlineStr">
        <x:is>
          <x:t xml:space="preserve">GenAI basics, LLM integration, RAG, chat UI, AI architecture and governance</x:t>
        </x:is>
      </x:c>
      <x:c r="G102" s="7" t="inlineStr">
        <x:is>
          <x:t xml:space="preserve">Weak-area DSA set 3</x:t>
        </x:is>
      </x:c>
      <x:c r="H102" s="7" t="inlineStr">
        <x:is>
          <x:t xml:space="preserve">Chunking and retrieval orchestration</x:t>
        </x:is>
      </x:c>
      <x:c r="I102" s="7" t="inlineStr">
        <x:is>
          <x:t xml:space="preserve">Async processing for ingestion</x:t>
        </x:is>
      </x:c>
      <x:c r="J102" s="7" t="inlineStr">
        <x:is>
          <x:t xml:space="preserve">Chat state management</x:t>
        </x:is>
      </x:c>
      <x:c r="K102" s="7" t="inlineStr">
        <x:is>
          <x:t xml:space="preserve">Grounding and hallucination controls</x:t>
        </x:is>
      </x:c>
      <x:c r="L102" s="7" t="inlineStr">
        <x:is>
          <x:t xml:space="preserve">Ingestion job prototype</x:t>
        </x:is>
      </x:c>
    </x:row>
    <x:row r="103" s="11" customFormat="1" ht="29" customHeight="1">
      <x:c r="A103" s="7" t="n">
        <x:v>102</x:v>
      </x:c>
      <x:c r="B103" s="7" t="n">
        <x:v>15</x:v>
      </x:c>
      <x:c r="C103" s="7" t="inlineStr">
        <x:is>
          <x:t xml:space="preserve">Thu</x:t>
        </x:is>
      </x:c>
      <x:c r="D103" s="7" t="inlineStr">
        <x:is>
          <x:t xml:space="preserve">Weekday</x:t>
        </x:is>
      </x:c>
      <x:c r="E103" s="7" t="n">
        <x:v>5</x:v>
      </x:c>
      <x:c r="F103" s="7" t="inlineStr">
        <x:is>
          <x:t xml:space="preserve">GenAI basics, LLM integration, RAG, chat UI, AI architecture and governance</x:t>
        </x:is>
      </x:c>
      <x:c r="G103" s="7" t="inlineStr">
        <x:is>
          <x:t xml:space="preserve">Weak-area DSA set 4</x:t>
        </x:is>
      </x:c>
      <x:c r="H103" s="7" t="inlineStr">
        <x:is>
          <x:t xml:space="preserve">Guardrails and output validation</x:t>
        </x:is>
      </x:c>
      <x:c r="I103" s="7" t="inlineStr">
        <x:is>
          <x:t xml:space="preserve">Auth/rate limits for AI features</x:t>
        </x:is>
      </x:c>
      <x:c r="J103" s="7" t="inlineStr">
        <x:is>
          <x:t xml:space="preserve">Citation UI patterns</x:t>
        </x:is>
      </x:c>
      <x:c r="K103" s="7" t="inlineStr">
        <x:is>
          <x:t xml:space="preserve">AI security and privacy</x:t>
        </x:is>
      </x:c>
      <x:c r="L103" s="7" t="inlineStr">
        <x:is>
          <x:t xml:space="preserve">Guardrails checklist</x:t>
        </x:is>
      </x:c>
    </x:row>
    <x:row r="104" s="11" customFormat="1" ht="29" customHeight="1">
      <x:c r="A104" s="7" t="n">
        <x:v>103</x:v>
      </x:c>
      <x:c r="B104" s="7" t="n">
        <x:v>15</x:v>
      </x:c>
      <x:c r="C104" s="7" t="inlineStr">
        <x:is>
          <x:t xml:space="preserve">Fri</x:t>
        </x:is>
      </x:c>
      <x:c r="D104" s="7" t="inlineStr">
        <x:is>
          <x:t xml:space="preserve">Weekday</x:t>
        </x:is>
      </x:c>
      <x:c r="E104" s="7" t="n">
        <x:v>5</x:v>
      </x:c>
      <x:c r="F104" s="7" t="inlineStr">
        <x:is>
          <x:t xml:space="preserve">GenAI basics, LLM integration, RAG, chat UI, AI architecture and governance</x:t>
        </x:is>
      </x:c>
      <x:c r="G104" s="7" t="inlineStr">
        <x:is>
          <x:t xml:space="preserve">Weak-area DSA set 5</x:t>
        </x:is>
      </x:c>
      <x:c r="H104" s="7" t="inlineStr">
        <x:is>
          <x:t xml:space="preserve">Evaluation of prompts/responses</x:t>
        </x:is>
      </x:c>
      <x:c r="I104" s="7" t="inlineStr">
        <x:is>
          <x:t xml:space="preserve">Latency and cost controls for AI</x:t>
        </x:is>
      </x:c>
      <x:c r="J104" s="7" t="inlineStr">
        <x:is>
          <x:t xml:space="preserve">Conversation memory patterns</x:t>
        </x:is>
      </x:c>
      <x:c r="K104" s="7" t="inlineStr">
        <x:is>
          <x:t xml:space="preserve">GenAI product trade-offs</x:t>
        </x:is>
      </x:c>
      <x:c r="L104" s="7" t="inlineStr">
        <x:is>
          <x:t xml:space="preserve">Evaluation rubric created</x:t>
        </x:is>
      </x:c>
    </x:row>
    <x:row r="105" s="11" customFormat="1" ht="29" customHeight="1">
      <x:c r="A105" s="4" t="n">
        <x:v>104</x:v>
      </x:c>
      <x:c r="B105" s="4" t="n">
        <x:v>15</x:v>
      </x:c>
      <x:c r="C105" s="4" t="inlineStr">
        <x:is>
          <x:t xml:space="preserve">Sat</x:t>
        </x:is>
      </x:c>
      <x:c r="D105" s="4" t="inlineStr">
        <x:is>
          <x:t xml:space="preserve">Weekend</x:t>
        </x:is>
      </x:c>
      <x:c r="E105" s="4" t="n">
        <x:v>8</x:v>
      </x:c>
      <x:c r="F105" s="4" t="inlineStr">
        <x:is>
          <x:t xml:space="preserve">GenAI basics, LLM integration, RAG, chat UI, AI architecture and governance</x:t>
        </x:is>
      </x:c>
      <x:c r="G105" s="4" t="inlineStr">
        <x:is>
          <x:t xml:space="preserve">Weekend build: RAG prototype</x:t>
        </x:is>
      </x:c>
      <x:c r="H105" s="4" t="inlineStr">
        <x:is>
          <x:t xml:space="preserve">Backend + retrieval integration</x:t>
        </x:is>
      </x:c>
      <x:c r="I105" s="4" t="inlineStr">
        <x:is>
          <x:t xml:space="preserve">Storage and async pipeline review</x:t>
        </x:is>
      </x:c>
      <x:c r="J105" s="4" t="inlineStr">
        <x:is>
          <x:t xml:space="preserve">Polish chat UX</x:t>
        </x:is>
      </x:c>
      <x:c r="K105" s="4" t="inlineStr">
        <x:is>
          <x:t xml:space="preserve">AI architecture review</x:t>
        </x:is>
      </x:c>
      <x:c r="L105" s="4" t="inlineStr">
        <x:is>
          <x:t xml:space="preserve">Milestone: GenAI slice</x:t>
        </x:is>
      </x:c>
    </x:row>
    <x:row r="106" s="11" customFormat="1" ht="29" customHeight="1">
      <x:c r="A106" s="4" t="n">
        <x:v>105</x:v>
      </x:c>
      <x:c r="B106" s="4" t="n">
        <x:v>15</x:v>
      </x:c>
      <x:c r="C106" s="4" t="inlineStr">
        <x:is>
          <x:t xml:space="preserve">Sun</x:t>
        </x:is>
      </x:c>
      <x:c r="D106" s="4" t="inlineStr">
        <x:is>
          <x:t xml:space="preserve">Weekend</x:t>
        </x:is>
      </x:c>
      <x:c r="E106" s="4" t="n">
        <x:v>8</x:v>
      </x:c>
      <x:c r="F106" s="4" t="inlineStr">
        <x:is>
          <x:t xml:space="preserve">GenAI basics, LLM integration, RAG, chat UI, AI architecture and governance</x:t>
        </x:is>
      </x:c>
      <x:c r="G106" s="4" t="inlineStr">
        <x:is>
          <x:t xml:space="preserve">Weekly review + risk list</x:t>
        </x:is>
      </x:c>
      <x:c r="H106" s="4" t="inlineStr">
        <x:is>
          <x:t xml:space="preserve">AI backend recap</x:t>
        </x:is>
      </x:c>
      <x:c r="I106" s="4" t="inlineStr">
        <x:is>
          <x:t xml:space="preserve">AWS recap</x:t>
        </x:is>
      </x:c>
      <x:c r="J106" s="4" t="inlineStr">
        <x:is>
          <x:t xml:space="preserve">UI recap</x:t>
        </x:is>
      </x:c>
      <x:c r="K106" s="4" t="inlineStr">
        <x:is>
          <x:t xml:space="preserve">Retrospective</x:t>
        </x:is>
      </x:c>
      <x:c r="L106" s="4" t="inlineStr">
        <x:is>
          <x:t xml:space="preserve">Update AI design notes</x:t>
        </x:is>
      </x:c>
    </x:row>
    <x:row r="107" s="11" customFormat="1" ht="43.5" customHeight="1">
      <x:c r="A107" s="7" t="n">
        <x:v>106</x:v>
      </x:c>
      <x:c r="B107" s="7" t="n">
        <x:v>16</x:v>
      </x:c>
      <x:c r="C107" s="7" t="inlineStr">
        <x:is>
          <x:t xml:space="preserve">Mon</x:t>
        </x:is>
      </x:c>
      <x:c r="D107" s="7" t="inlineStr">
        <x:is>
          <x:t xml:space="preserve">Weekday</x:t>
        </x:is>
      </x:c>
      <x:c r="E107" s="7" t="n">
        <x:v>5</x:v>
      </x:c>
      <x:c r="F107" s="7" t="inlineStr">
        <x:is>
          <x:t xml:space="preserve">Capstone planning and build sprint 1: domain model, auth, core services, routing, NFRs</x:t>
        </x:is>
      </x:c>
      <x:c r="G107" s="7" t="inlineStr">
        <x:is>
          <x:t xml:space="preserve">Timed DSA mock 1</x:t>
        </x:is>
      </x:c>
      <x:c r="H107" s="7" t="inlineStr">
        <x:is>
          <x:t xml:space="preserve">Capstone scope and domain model</x:t>
        </x:is>
      </x:c>
      <x:c r="I107" s="7" t="inlineStr">
        <x:is>
          <x:t xml:space="preserve">Choose AWS reference architecture</x:t>
        </x:is>
      </x:c>
      <x:c r="J107" s="7" t="inlineStr">
        <x:is>
          <x:t xml:space="preserve">App shell and route map</x:t>
        </x:is>
      </x:c>
      <x:c r="K107" s="7" t="inlineStr">
        <x:is>
          <x:t xml:space="preserve">NFRs and acceptance criteria</x:t>
        </x:is>
      </x:c>
      <x:c r="L107" s="7" t="inlineStr">
        <x:is>
          <x:t xml:space="preserve">Capstone backlog and architecture v1</x:t>
        </x:is>
      </x:c>
    </x:row>
    <x:row r="108" s="11" customFormat="1" ht="43.5" customHeight="1">
      <x:c r="A108" s="7" t="n">
        <x:v>107</x:v>
      </x:c>
      <x:c r="B108" s="7" t="n">
        <x:v>16</x:v>
      </x:c>
      <x:c r="C108" s="7" t="inlineStr">
        <x:is>
          <x:t xml:space="preserve">Tue</x:t>
        </x:is>
      </x:c>
      <x:c r="D108" s="7" t="inlineStr">
        <x:is>
          <x:t xml:space="preserve">Weekday</x:t>
        </x:is>
      </x:c>
      <x:c r="E108" s="7" t="n">
        <x:v>5</x:v>
      </x:c>
      <x:c r="F108" s="7" t="inlineStr">
        <x:is>
          <x:t xml:space="preserve">Capstone planning and build sprint 1: domain model, auth, core services, routing, NFRs</x:t>
        </x:is>
      </x:c>
      <x:c r="G108" s="7" t="inlineStr">
        <x:is>
          <x:t xml:space="preserve">DSA correction day</x:t>
        </x:is>
      </x:c>
      <x:c r="H108" s="7" t="inlineStr">
        <x:is>
          <x:t xml:space="preserve">Auth/user service</x:t>
        </x:is>
      </x:c>
      <x:c r="I108" s="7" t="inlineStr">
        <x:is>
          <x:t xml:space="preserve">Networking and IAM setup</x:t>
        </x:is>
      </x:c>
      <x:c r="J108" s="7" t="inlineStr">
        <x:is>
          <x:t xml:space="preserve">Layout and auth flow</x:t>
        </x:is>
      </x:c>
      <x:c r="K108" s="7" t="inlineStr">
        <x:is>
          <x:t xml:space="preserve">ADR 1</x:t>
        </x:is>
      </x:c>
      <x:c r="L108" s="7" t="inlineStr">
        <x:is>
          <x:t xml:space="preserve">Working auth skeleton</x:t>
        </x:is>
      </x:c>
    </x:row>
    <x:row r="109" s="11" customFormat="1" ht="43.5" customHeight="1">
      <x:c r="A109" s="7" t="n">
        <x:v>108</x:v>
      </x:c>
      <x:c r="B109" s="7" t="n">
        <x:v>16</x:v>
      </x:c>
      <x:c r="C109" s="7" t="inlineStr">
        <x:is>
          <x:t xml:space="preserve">Wed</x:t>
        </x:is>
      </x:c>
      <x:c r="D109" s="7" t="inlineStr">
        <x:is>
          <x:t xml:space="preserve">Weekday</x:t>
        </x:is>
      </x:c>
      <x:c r="E109" s="7" t="n">
        <x:v>5</x:v>
      </x:c>
      <x:c r="F109" s="7" t="inlineStr">
        <x:is>
          <x:t xml:space="preserve">Capstone planning and build sprint 1: domain model, auth, core services, routing, NFRs</x:t>
        </x:is>
      </x:c>
      <x:c r="G109" s="7" t="inlineStr">
        <x:is>
          <x:t xml:space="preserve">DSA weak-area review</x:t>
        </x:is>
      </x:c>
      <x:c r="H109" s="7" t="inlineStr">
        <x:is>
          <x:t xml:space="preserve">Core business service</x:t>
        </x:is>
      </x:c>
      <x:c r="I109" s="7" t="inlineStr">
        <x:is>
          <x:t xml:space="preserve">Database and storage setup</x:t>
        </x:is>
      </x:c>
      <x:c r="J109" s="7" t="inlineStr">
        <x:is>
          <x:t xml:space="preserve">API client and data flow</x:t>
        </x:is>
      </x:c>
      <x:c r="K109" s="7" t="inlineStr">
        <x:is>
          <x:t xml:space="preserve">ADR 2</x:t>
        </x:is>
      </x:c>
      <x:c r="L109" s="7" t="inlineStr">
        <x:is>
          <x:t xml:space="preserve">Core API running</x:t>
        </x:is>
      </x:c>
    </x:row>
    <x:row r="110" s="11" customFormat="1" ht="43.5" customHeight="1">
      <x:c r="A110" s="7" t="n">
        <x:v>109</x:v>
      </x:c>
      <x:c r="B110" s="7" t="n">
        <x:v>16</x:v>
      </x:c>
      <x:c r="C110" s="7" t="inlineStr">
        <x:is>
          <x:t xml:space="preserve">Thu</x:t>
        </x:is>
      </x:c>
      <x:c r="D110" s="7" t="inlineStr">
        <x:is>
          <x:t xml:space="preserve">Weekday</x:t>
        </x:is>
      </x:c>
      <x:c r="E110" s="7" t="n">
        <x:v>5</x:v>
      </x:c>
      <x:c r="F110" s="7" t="inlineStr">
        <x:is>
          <x:t xml:space="preserve">Capstone planning and build sprint 1: domain model, auth, core services, routing, NFRs</x:t>
        </x:is>
      </x:c>
      <x:c r="G110" s="7" t="inlineStr">
        <x:is>
          <x:t xml:space="preserve">DSA weak-area review</x:t>
        </x:is>
      </x:c>
      <x:c r="H110" s="7" t="inlineStr">
        <x:is>
          <x:t xml:space="preserve">Async/event service</x:t>
        </x:is>
      </x:c>
      <x:c r="I110" s="7" t="inlineStr">
        <x:is>
          <x:t xml:space="preserve">Queue/cache integration</x:t>
        </x:is>
      </x:c>
      <x:c r="J110" s="7" t="inlineStr">
        <x:is>
          <x:t xml:space="preserve">Feature pages build</x:t>
        </x:is>
      </x:c>
      <x:c r="K110" s="7" t="inlineStr">
        <x:is>
          <x:t xml:space="preserve">Test plan</x:t>
        </x:is>
      </x:c>
      <x:c r="L110" s="7" t="inlineStr">
        <x:is>
          <x:t xml:space="preserve">Async flow implemented</x:t>
        </x:is>
      </x:c>
    </x:row>
    <x:row r="111" s="11" customFormat="1" ht="43.5" customHeight="1">
      <x:c r="A111" s="7" t="n">
        <x:v>110</x:v>
      </x:c>
      <x:c r="B111" s="7" t="n">
        <x:v>16</x:v>
      </x:c>
      <x:c r="C111" s="7" t="inlineStr">
        <x:is>
          <x:t xml:space="preserve">Fri</x:t>
        </x:is>
      </x:c>
      <x:c r="D111" s="7" t="inlineStr">
        <x:is>
          <x:t xml:space="preserve">Weekday</x:t>
        </x:is>
      </x:c>
      <x:c r="E111" s="7" t="n">
        <x:v>5</x:v>
      </x:c>
      <x:c r="F111" s="7" t="inlineStr">
        <x:is>
          <x:t xml:space="preserve">Capstone planning and build sprint 1: domain model, auth, core services, routing, NFRs</x:t>
        </x:is>
      </x:c>
      <x:c r="G111" s="7" t="inlineStr">
        <x:is>
          <x:t xml:space="preserve">DSA weak-area review</x:t>
        </x:is>
      </x:c>
      <x:c r="H111" s="7" t="inlineStr">
        <x:is>
          <x:t xml:space="preserve">Integration tests for backend</x:t>
        </x:is>
      </x:c>
      <x:c r="I111" s="7" t="inlineStr">
        <x:is>
          <x:t xml:space="preserve">Monitoring and security baseline</x:t>
        </x:is>
      </x:c>
      <x:c r="J111" s="7" t="inlineStr">
        <x:is>
          <x:t xml:space="preserve">UX polish</x:t>
        </x:is>
      </x:c>
      <x:c r="K111" s="7" t="inlineStr">
        <x:is>
          <x:t xml:space="preserve">Deployment checklist</x:t>
        </x:is>
      </x:c>
      <x:c r="L111" s="7" t="inlineStr">
        <x:is>
          <x:t xml:space="preserve">Staging-ready baseline</x:t>
        </x:is>
      </x:c>
    </x:row>
    <x:row r="112" s="11" customFormat="1" ht="43.5" customHeight="1">
      <x:c r="A112" s="4" t="n">
        <x:v>111</x:v>
      </x:c>
      <x:c r="B112" s="4" t="n">
        <x:v>16</x:v>
      </x:c>
      <x:c r="C112" s="4" t="inlineStr">
        <x:is>
          <x:t xml:space="preserve">Sat</x:t>
        </x:is>
      </x:c>
      <x:c r="D112" s="4" t="inlineStr">
        <x:is>
          <x:t xml:space="preserve">Weekend</x:t>
        </x:is>
      </x:c>
      <x:c r="E112" s="4" t="n">
        <x:v>8</x:v>
      </x:c>
      <x:c r="F112" s="4" t="inlineStr">
        <x:is>
          <x:t xml:space="preserve">Capstone planning and build sprint 1: domain model, auth, core services, routing, NFRs</x:t>
        </x:is>
      </x:c>
      <x:c r="G112" s="4" t="inlineStr">
        <x:is>
          <x:t xml:space="preserve">Full mock + build sprint</x:t>
        </x:is>
      </x:c>
      <x:c r="H112" s="4" t="inlineStr">
        <x:is>
          <x:t xml:space="preserve">Capstone sprint day</x:t>
        </x:is>
      </x:c>
      <x:c r="I112" s="4" t="inlineStr">
        <x:is>
          <x:t xml:space="preserve">Deploy staging</x:t>
        </x:is>
      </x:c>
      <x:c r="J112" s="4" t="inlineStr">
        <x:is>
          <x:t xml:space="preserve">Hook up UI to APIs</x:t>
        </x:is>
      </x:c>
      <x:c r="K112" s="4" t="inlineStr">
        <x:is>
          <x:t xml:space="preserve">Architecture review</x:t>
        </x:is>
      </x:c>
      <x:c r="L112" s="4" t="inlineStr">
        <x:is>
          <x:t xml:space="preserve">Staging demo</x:t>
        </x:is>
      </x:c>
    </x:row>
    <x:row r="113" s="11" customFormat="1" ht="43.5" customHeight="1">
      <x:c r="A113" s="4" t="n">
        <x:v>112</x:v>
      </x:c>
      <x:c r="B113" s="4" t="n">
        <x:v>16</x:v>
      </x:c>
      <x:c r="C113" s="4" t="inlineStr">
        <x:is>
          <x:t xml:space="preserve">Sun</x:t>
        </x:is>
      </x:c>
      <x:c r="D113" s="4" t="inlineStr">
        <x:is>
          <x:t xml:space="preserve">Weekend</x:t>
        </x:is>
      </x:c>
      <x:c r="E113" s="4" t="n">
        <x:v>8</x:v>
      </x:c>
      <x:c r="F113" s="4" t="inlineStr">
        <x:is>
          <x:t xml:space="preserve">Capstone planning and build sprint 1: domain model, auth, core services, routing, NFRs</x:t>
        </x:is>
      </x:c>
      <x:c r="G113" s="4" t="inlineStr">
        <x:is>
          <x:t xml:space="preserve">Bug-fix and review</x:t>
        </x:is>
      </x:c>
      <x:c r="H113" s="4" t="inlineStr">
        <x:is>
          <x:t xml:space="preserve">Refactor core modules</x:t>
        </x:is>
      </x:c>
      <x:c r="I113" s="4" t="inlineStr">
        <x:is>
          <x:t xml:space="preserve">Cost review</x:t>
        </x:is>
      </x:c>
      <x:c r="J113" s="4" t="inlineStr">
        <x:is>
          <x:t xml:space="preserve">Refine UX</x:t>
        </x:is>
      </x:c>
      <x:c r="K113" s="4" t="inlineStr">
        <x:is>
          <x:t xml:space="preserve">Retrospective</x:t>
        </x:is>
      </x:c>
      <x:c r="L113" s="4" t="inlineStr">
        <x:is>
          <x:t xml:space="preserve">Update gap list</x:t>
        </x:is>
      </x:c>
    </x:row>
    <x:row r="114" s="11" customFormat="1" ht="29" customHeight="1">
      <x:c r="A114" s="7" t="n">
        <x:v>113</x:v>
      </x:c>
      <x:c r="B114" s="7" t="n">
        <x:v>17</x:v>
      </x:c>
      <x:c r="C114" s="7" t="inlineStr">
        <x:is>
          <x:t xml:space="preserve">Mon</x:t>
        </x:is>
      </x:c>
      <x:c r="D114" s="7" t="inlineStr">
        <x:is>
          <x:t xml:space="preserve">Weekday</x:t>
        </x:is>
      </x:c>
      <x:c r="E114" s="7" t="n">
        <x:v>5</x:v>
      </x:c>
      <x:c r="F114" s="7" t="inlineStr">
        <x:is>
          <x:t xml:space="preserve">Capstone sprint 2: optimization, security, DR, docs, presentation</x:t>
        </x:is>
      </x:c>
      <x:c r="G114" s="7" t="inlineStr">
        <x:is>
          <x:t xml:space="preserve">Timed DSA mock 2</x:t>
        </x:is>
      </x:c>
      <x:c r="H114" s="7" t="inlineStr">
        <x:is>
          <x:t xml:space="preserve">Optimize service hotspots</x:t>
        </x:is>
      </x:c>
      <x:c r="I114" s="7" t="inlineStr">
        <x:is>
          <x:t xml:space="preserve">Autoscaling and cost controls</x:t>
        </x:is>
      </x:c>
      <x:c r="J114" s="7" t="inlineStr">
        <x:is>
          <x:t xml:space="preserve">Frontend performance fixes</x:t>
        </x:is>
      </x:c>
      <x:c r="K114" s="7" t="inlineStr">
        <x:is>
          <x:t xml:space="preserve">Architecture diagram</x:t>
        </x:is>
      </x:c>
      <x:c r="L114" s="7" t="inlineStr">
        <x:is>
          <x:t xml:space="preserve">Perf baseline v2</x:t>
        </x:is>
      </x:c>
    </x:row>
    <x:row r="115" s="11" customFormat="1" ht="29" customHeight="1">
      <x:c r="A115" s="7" t="n">
        <x:v>114</x:v>
      </x:c>
      <x:c r="B115" s="7" t="n">
        <x:v>17</x:v>
      </x:c>
      <x:c r="C115" s="7" t="inlineStr">
        <x:is>
          <x:t xml:space="preserve">Tue</x:t>
        </x:is>
      </x:c>
      <x:c r="D115" s="7" t="inlineStr">
        <x:is>
          <x:t xml:space="preserve">Weekday</x:t>
        </x:is>
      </x:c>
      <x:c r="E115" s="7" t="n">
        <x:v>5</x:v>
      </x:c>
      <x:c r="F115" s="7" t="inlineStr">
        <x:is>
          <x:t xml:space="preserve">Capstone sprint 2: optimization, security, DR, docs, presentation</x:t>
        </x:is>
      </x:c>
      <x:c r="G115" s="7" t="inlineStr">
        <x:is>
          <x:t xml:space="preserve">Timed DSA mock 3</x:t>
        </x:is>
      </x:c>
      <x:c r="H115" s="7" t="inlineStr">
        <x:is>
          <x:t xml:space="preserve">Security hardening</x:t>
        </x:is>
      </x:c>
      <x:c r="I115" s="7" t="inlineStr">
        <x:is>
          <x:t xml:space="preserve">CloudFront/WAF/Route53 if relevant</x:t>
        </x:is>
      </x:c>
      <x:c r="J115" s="7" t="inlineStr">
        <x:is>
          <x:t xml:space="preserve">Frontend tests</x:t>
        </x:is>
      </x:c>
      <x:c r="K115" s="7" t="inlineStr">
        <x:is>
          <x:t xml:space="preserve">Runbook</x:t>
        </x:is>
      </x:c>
      <x:c r="L115" s="7" t="inlineStr">
        <x:is>
          <x:t xml:space="preserve">Security checklist pass</x:t>
        </x:is>
      </x:c>
    </x:row>
    <x:row r="116" s="11" customFormat="1" ht="29" customHeight="1">
      <x:c r="A116" s="7" t="n">
        <x:v>115</x:v>
      </x:c>
      <x:c r="B116" s="7" t="n">
        <x:v>17</x:v>
      </x:c>
      <x:c r="C116" s="7" t="inlineStr">
        <x:is>
          <x:t xml:space="preserve">Wed</x:t>
        </x:is>
      </x:c>
      <x:c r="D116" s="7" t="inlineStr">
        <x:is>
          <x:t xml:space="preserve">Weekday</x:t>
        </x:is>
      </x:c>
      <x:c r="E116" s="7" t="n">
        <x:v>5</x:v>
      </x:c>
      <x:c r="F116" s="7" t="inlineStr">
        <x:is>
          <x:t xml:space="preserve">Capstone sprint 2: optimization, security, DR, docs, presentation</x:t>
        </x:is>
      </x:c>
      <x:c r="G116" s="7" t="inlineStr">
        <x:is>
          <x:t xml:space="preserve">Timed DSA mock 4</x:t>
        </x:is>
      </x:c>
      <x:c r="H116" s="7" t="inlineStr">
        <x:is>
          <x:t xml:space="preserve">Failure handling and retries</x:t>
        </x:is>
      </x:c>
      <x:c r="I116" s="7" t="inlineStr">
        <x:is>
          <x:t xml:space="preserve">Backups and DR review</x:t>
        </x:is>
      </x:c>
      <x:c r="J116" s="7" t="inlineStr">
        <x:is>
          <x:t xml:space="preserve">Accessibility fixes</x:t>
        </x:is>
      </x:c>
      <x:c r="K116" s="7" t="inlineStr">
        <x:is>
          <x:t xml:space="preserve">Incident scenarios</x:t>
        </x:is>
      </x:c>
      <x:c r="L116" s="7" t="inlineStr">
        <x:is>
          <x:t xml:space="preserve">DR notes finalized</x:t>
        </x:is>
      </x:c>
    </x:row>
    <x:row r="117" s="11" customFormat="1" ht="29" customHeight="1">
      <x:c r="A117" s="7" t="n">
        <x:v>116</x:v>
      </x:c>
      <x:c r="B117" s="7" t="n">
        <x:v>17</x:v>
      </x:c>
      <x:c r="C117" s="7" t="inlineStr">
        <x:is>
          <x:t xml:space="preserve">Thu</x:t>
        </x:is>
      </x:c>
      <x:c r="D117" s="7" t="inlineStr">
        <x:is>
          <x:t xml:space="preserve">Weekday</x:t>
        </x:is>
      </x:c>
      <x:c r="E117" s="7" t="n">
        <x:v>5</x:v>
      </x:c>
      <x:c r="F117" s="7" t="inlineStr">
        <x:is>
          <x:t xml:space="preserve">Capstone sprint 2: optimization, security, DR, docs, presentation</x:t>
        </x:is>
      </x:c>
      <x:c r="G117" s="7" t="inlineStr">
        <x:is>
          <x:t xml:space="preserve">Timed DSA mock 5</x:t>
        </x:is>
      </x:c>
      <x:c r="H117" s="7" t="inlineStr">
        <x:is>
          <x:t xml:space="preserve">Final code cleanup</x:t>
        </x:is>
      </x:c>
      <x:c r="I117" s="7" t="inlineStr">
        <x:is>
          <x:t xml:space="preserve">CI/CD hardening</x:t>
        </x:is>
      </x:c>
      <x:c r="J117" s="7" t="inlineStr">
        <x:is>
          <x:t xml:space="preserve">Final production build</x:t>
        </x:is>
      </x:c>
      <x:c r="K117" s="7" t="inlineStr">
        <x:is>
          <x:t xml:space="preserve">Presentation draft</x:t>
        </x:is>
      </x:c>
      <x:c r="L117" s="7" t="inlineStr">
        <x:is>
          <x:t xml:space="preserve">Release candidate</x:t>
        </x:is>
      </x:c>
    </x:row>
    <x:row r="118" s="11" customFormat="1" ht="29" customHeight="1">
      <x:c r="A118" s="7" t="n">
        <x:v>117</x:v>
      </x:c>
      <x:c r="B118" s="7" t="n">
        <x:v>17</x:v>
      </x:c>
      <x:c r="C118" s="7" t="inlineStr">
        <x:is>
          <x:t xml:space="preserve">Fri</x:t>
        </x:is>
      </x:c>
      <x:c r="D118" s="7" t="inlineStr">
        <x:is>
          <x:t xml:space="preserve">Weekday</x:t>
        </x:is>
      </x:c>
      <x:c r="E118" s="7" t="n">
        <x:v>5</x:v>
      </x:c>
      <x:c r="F118" s="7" t="inlineStr">
        <x:is>
          <x:t xml:space="preserve">Capstone sprint 2: optimization, security, DR, docs, presentation</x:t>
        </x:is>
      </x:c>
      <x:c r="G118" s="7" t="inlineStr">
        <x:is>
          <x:t xml:space="preserve">Timed DSA mock 6</x:t>
        </x:is>
      </x:c>
      <x:c r="H118" s="7" t="inlineStr">
        <x:is>
          <x:t xml:space="preserve">Mock architect presentation</x:t>
        </x:is>
      </x:c>
      <x:c r="I118" s="7" t="inlineStr">
        <x:is>
          <x:t xml:space="preserve">Final Well-Architected review</x:t>
        </x:is>
      </x:c>
      <x:c r="J118" s="7" t="inlineStr">
        <x:is>
          <x:t xml:space="preserve">Metrics dashboard</x:t>
        </x:is>
      </x:c>
      <x:c r="K118" s="7" t="inlineStr">
        <x:is>
          <x:t xml:space="preserve">Resume bullets and portfolio notes</x:t>
        </x:is>
      </x:c>
      <x:c r="L118" s="7" t="inlineStr">
        <x:is>
          <x:t xml:space="preserve">Presentation rehearsal</x:t>
        </x:is>
      </x:c>
    </x:row>
    <x:row r="119" s="11" customFormat="1" ht="29" customHeight="1">
      <x:c r="A119" s="4" t="n">
        <x:v>118</x:v>
      </x:c>
      <x:c r="B119" s="4" t="n">
        <x:v>17</x:v>
      </x:c>
      <x:c r="C119" s="4" t="inlineStr">
        <x:is>
          <x:t xml:space="preserve">Sat</x:t>
        </x:is>
      </x:c>
      <x:c r="D119" s="4" t="inlineStr">
        <x:is>
          <x:t xml:space="preserve">Weekend</x:t>
        </x:is>
      </x:c>
      <x:c r="E119" s="4" t="n">
        <x:v>8</x:v>
      </x:c>
      <x:c r="F119" s="4" t="inlineStr">
        <x:is>
          <x:t xml:space="preserve">Capstone sprint 2: optimization, security, DR, docs, presentation</x:t>
        </x:is>
      </x:c>
      <x:c r="G119" s="4" t="inlineStr">
        <x:is>
          <x:t xml:space="preserve">Weekend end-to-end demo</x:t>
        </x:is>
      </x:c>
      <x:c r="H119" s="4" t="inlineStr">
        <x:is>
          <x:t xml:space="preserve">Capstone polish and bugfix</x:t>
        </x:is>
      </x:c>
      <x:c r="I119" s="4" t="inlineStr">
        <x:is>
          <x:t xml:space="preserve">Deployment validation</x:t>
        </x:is>
      </x:c>
      <x:c r="J119" s="4" t="inlineStr">
        <x:is>
          <x:t xml:space="preserve">UX polish and docs</x:t>
        </x:is>
      </x:c>
      <x:c r="K119" s="4" t="inlineStr">
        <x:is>
          <x:t xml:space="preserve">Stakeholder-style Q&amp;A</x:t>
        </x:is>
      </x:c>
      <x:c r="L119" s="4" t="inlineStr">
        <x:is>
          <x:t xml:space="preserve">Milestone: end-to-end solution</x:t>
        </x:is>
      </x:c>
    </x:row>
    <x:row r="120" s="11" customFormat="1" ht="29" customHeight="1">
      <x:c r="A120" s="4" t="n">
        <x:v>119</x:v>
      </x:c>
      <x:c r="B120" s="4" t="n">
        <x:v>17</x:v>
      </x:c>
      <x:c r="C120" s="4" t="inlineStr">
        <x:is>
          <x:t xml:space="preserve">Sun</x:t>
        </x:is>
      </x:c>
      <x:c r="D120" s="4" t="inlineStr">
        <x:is>
          <x:t xml:space="preserve">Weekend</x:t>
        </x:is>
      </x:c>
      <x:c r="E120" s="4" t="n">
        <x:v>8</x:v>
      </x:c>
      <x:c r="F120" s="4" t="inlineStr">
        <x:is>
          <x:t xml:space="preserve">Capstone sprint 2: optimization, security, DR, docs, presentation</x:t>
        </x:is>
      </x:c>
      <x:c r="G120" s="4" t="inlineStr">
        <x:is>
          <x:t xml:space="preserve">Final week retrospective</x:t>
        </x:is>
      </x:c>
      <x:c r="H120" s="4" t="inlineStr">
        <x:is>
          <x:t xml:space="preserve">Gap closure</x:t>
        </x:is>
      </x:c>
      <x:c r="I120" s="4" t="inlineStr">
        <x:is>
          <x:t xml:space="preserve">Ops checklist</x:t>
        </x:is>
      </x:c>
      <x:c r="J120" s="4" t="inlineStr">
        <x:is>
          <x:t xml:space="preserve">UI checklist</x:t>
        </x:is>
      </x:c>
      <x:c r="K120" s="4" t="inlineStr">
        <x:is>
          <x:t xml:space="preserve">Retrospective</x:t>
        </x:is>
      </x:c>
      <x:c r="L120" s="4" t="inlineStr">
        <x:is>
          <x:t xml:space="preserve">Prepare final assessment</x:t>
        </x:is>
      </x:c>
    </x:row>
    <x:row r="121" s="11" customFormat="1" ht="29" customHeight="1">
      <x:c r="A121" s="5" t="n">
        <x:v>120</x:v>
      </x:c>
      <x:c r="B121" s="5" t="n">
        <x:v>18</x:v>
      </x:c>
      <x:c r="C121" s="5" t="inlineStr">
        <x:is>
          <x:t xml:space="preserve">Mon</x:t>
        </x:is>
      </x:c>
      <x:c r="D121" s="5" t="inlineStr">
        <x:is>
          <x:t xml:space="preserve">Weekday</x:t>
        </x:is>
      </x:c>
      <x:c r="E121" s="5" t="n">
        <x:v>5</x:v>
      </x:c>
      <x:c r="F121" s="5" t="inlineStr">
        <x:is>
          <x:t xml:space="preserve">Final consolidation and architect presentation</x:t>
        </x:is>
      </x:c>
      <x:c r="G121" s="5" t="inlineStr">
        <x:is>
          <x:t xml:space="preserve">Final DSA mock + pattern sheet</x:t>
        </x:is>
      </x:c>
      <x:c r="H121" s="5" t="inlineStr">
        <x:is>
          <x:t xml:space="preserve">Java/Spring final recap and interview notes</x:t>
        </x:is>
      </x:c>
      <x:c r="I121" s="5" t="inlineStr">
        <x:is>
          <x:t xml:space="preserve">AWS SAA-style domain review + Well-Architected review</x:t>
        </x:is>
      </x:c>
      <x:c r="J121" s="5" t="inlineStr">
        <x:is>
          <x:t xml:space="preserve">React/frontend architecture final recap</x:t>
        </x:is>
      </x:c>
      <x:c r="K121" s="5" t="inlineStr">
        <x:is>
          <x:t xml:space="preserve">Final solution-architect presentation + next 90-day plan</x:t>
        </x:is>
      </x:c>
      <x:c r="L121" s="5" t="inlineStr">
        <x:is>
          <x:t xml:space="preserve">Record what to continue after Day 120</x:t>
        </x:is>
      </x:c>
    </x:row>
  </x:sheetData>
  <x:pageMargins left="0.7" right="0.7" top="0.75" bottom="0.75" header="0.3" footer="0.3"/>
  <x:legacyDrawing xmlns:r="http://schemas.openxmlformats.org/officeDocument/2006/relationships" r:id="R4090ffbfa43d4dba"/>
</x:worksheet>
</file>

<file path=xl/worksheets/sheet9.xml><?xml version="1.0" encoding="utf-8"?>
<x:worksheet xmlns:x="http://schemas.openxmlformats.org/spreadsheetml/2006/main">
  <x:sheetPr>
    <x:tabColor rgb="00C00000"/>
  </x:sheetPr>
  <x:sheetViews>
    <x:sheetView showGridLines="0" workbookViewId="0"/>
  </x:sheetViews>
  <x:sheetFormatPr baseColWidth="8" defaultRowHeight="14.5"/>
  <x:cols>
    <x:col min="1" max="1" width="45" style="11" customWidth="1"/>
    <x:col min="2" max="5" width="15" style="11" customWidth="1"/>
    <x:col min="3" max="3" width="15" style="11" customWidth="1"/>
    <x:col min="4" max="4" width="15" style="11" customWidth="1"/>
    <x:col min="5" max="5" width="15" style="11" customWidth="1"/>
    <x:col min="6" max="6" width="4" style="11" customWidth="1"/>
    <x:col min="7" max="7" width="12" style="11" customWidth="1"/>
    <x:col min="8" max="8" width="10" style="11" customWidth="1"/>
    <x:col min="9" max="9" width="14" style="11" customWidth="1"/>
    <x:col min="10" max="10" width="28" style="11" customWidth="1"/>
  </x:cols>
  <x:sheetData>
    <x:row r="1" s="11" customFormat="1" ht="24" customHeight="1">
      <x:c r="A1" s="57" t="inlineStr">
        <x:is>
          <x:t xml:space="preserve">Architect Readiness Scorecard</x:t>
        </x:is>
      </x:c>
      <x:c r="B1" s="56" t="n"/>
      <x:c r="C1" s="56" t="n"/>
      <x:c r="D1" s="56" t="n"/>
      <x:c r="E1" s="56" t="n"/>
    </x:row>
    <x:row r="2" s="11" customFormat="1" ht="24" customHeight="1">
      <x:c r="A2" s="7" t="n"/>
      <x:c r="B2" s="7" t="n"/>
      <x:c r="C2" s="7" t="n"/>
      <x:c r="D2" s="7" t="n"/>
      <x:c r="E2" s="7" t="n"/>
    </x:row>
    <x:row r="3" s="11" customFormat="1" ht="28" customHeight="1">
      <x:c r="A3" s="15" t="inlineStr">
        <x:is>
          <x:t xml:space="preserve">DSA</x:t>
        </x:is>
      </x:c>
      <x:c r="B3" s="61" t="n"/>
      <x:c r="C3" s="61" t="n"/>
      <x:c r="D3" s="61" t="n"/>
      <x:c r="E3" s="62" t="n"/>
      <x:c r="G3" s="15" t="inlineStr">
        <x:is>
          <x:t xml:space="preserve">Checkpoint Scores</x:t>
        </x:is>
      </x:c>
      <x:c r="H3" s="61" t="n"/>
      <x:c r="I3" s="61" t="n"/>
      <x:c r="J3" s="62" t="n"/>
    </x:row>
    <x:row r="4" s="11" customFormat="1" ht="28" customHeight="1">
      <x:c r="A4" s="27" t="inlineStr">
        <x:is>
          <x:t xml:space="preserve">Item</x:t>
        </x:is>
      </x:c>
      <x:c r="B4" s="27" t="inlineStr">
        <x:is>
          <x:t xml:space="preserve">Day 30</x:t>
        </x:is>
      </x:c>
      <x:c r="C4" s="27" t="inlineStr">
        <x:is>
          <x:t xml:space="preserve">Day 60</x:t>
        </x:is>
      </x:c>
      <x:c r="D4" s="27" t="inlineStr">
        <x:is>
          <x:t xml:space="preserve">Day 90</x:t>
        </x:is>
      </x:c>
      <x:c r="E4" s="27" t="inlineStr">
        <x:is>
          <x:t xml:space="preserve">Day 120</x:t>
        </x:is>
      </x:c>
      <x:c r="G4" s="27" t="inlineStr">
        <x:is>
          <x:t xml:space="preserve">Checkpoint</x:t>
        </x:is>
      </x:c>
      <x:c r="H4" s="27" t="inlineStr">
        <x:is>
          <x:t xml:space="preserve">Score %</x:t>
        </x:is>
      </x:c>
      <x:c r="I4" s="27" t="inlineStr">
        <x:is>
          <x:t xml:space="preserve">Signal</x:t>
        </x:is>
      </x:c>
      <x:c r="J4" s="27" t="inlineStr">
        <x:is>
          <x:t xml:space="preserve">Interpretation</x:t>
        </x:is>
      </x:c>
    </x:row>
    <x:row r="5" s="11" customFormat="1" ht="28" customHeight="1">
      <x:c r="A5" s="31" t="inlineStr">
        <x:is>
          <x:t xml:space="preserve">Can solve common medium patterns without hints</x:t>
        </x:is>
      </x:c>
      <x:c r="B5" s="44" t="inlineStr">
        <x:is>
          <x:t xml:space="preserve">Not yet</x:t>
        </x:is>
      </x:c>
      <x:c r="C5" s="44" t="inlineStr">
        <x:is>
          <x:t xml:space="preserve">Not yet</x:t>
        </x:is>
      </x:c>
      <x:c r="D5" s="44" t="inlineStr">
        <x:is>
          <x:t xml:space="preserve">Not yet</x:t>
        </x:is>
      </x:c>
      <x:c r="E5" s="44" t="inlineStr">
        <x:is>
          <x:t xml:space="preserve">Not yet</x:t>
        </x:is>
      </x:c>
      <x:c r="G5" s="58" t="inlineStr">
        <x:is>
          <x:t xml:space="preserve">Day 30</x:t>
        </x:is>
      </x:c>
      <x:c r="H5" s="75">
        <x:f>ROUND(((COUNTIF(B5:B7,"Yes")+COUNTIF(B11:B13,"Yes")+COUNTIF(B17:B19,"Yes")+COUNTIF(B23:B25,"Yes")+COUNTIF(B29:B31,"Yes")+COUNTIF(B35:B37,"Yes")+0.5*(COUNTIF(B5:B7,"Partial")+COUNTIF(B11:B13,"Partial")+COUNTIF(B17:B19,"Partial")+COUNTIF(B23:B25,"Partial")+COUNTIF(B29:B31,"Partial")+COUNTIF(B35:B37,"Partial")))/18)*100,1)</x:f>
        <x:v>0</x:v>
      </x:c>
      <x:c r="I5" s="18" t="str">
        <x:f>IF(H5&gt;=80,"Strong",IF(H5&gt;=60,"Building","Needs Focus"))</x:f>
        <x:v>Needs Focus</x:v>
      </x:c>
      <x:c r="J5" s="18" t="str">
        <x:f>IF(I5="Strong","Stay on capstone + mocks",IF(I5="Building","Tighten weak domains","Revisit fundamentals and weekly execution"))</x:f>
        <x:v>Revisit fundamentals and weekly execution</x:v>
      </x:c>
    </x:row>
    <x:row r="6" s="11" customFormat="1" ht="28" customHeight="1">
      <x:c r="A6" s="31" t="inlineStr">
        <x:is>
          <x:t xml:space="preserve">Can explain time/space trade-offs clearly</x:t>
        </x:is>
      </x:c>
      <x:c r="B6" s="44" t="inlineStr">
        <x:is>
          <x:t xml:space="preserve">Not yet</x:t>
        </x:is>
      </x:c>
      <x:c r="C6" s="44" t="inlineStr">
        <x:is>
          <x:t xml:space="preserve">Not yet</x:t>
        </x:is>
      </x:c>
      <x:c r="D6" s="44" t="inlineStr">
        <x:is>
          <x:t xml:space="preserve">Not yet</x:t>
        </x:is>
      </x:c>
      <x:c r="E6" s="44" t="inlineStr">
        <x:is>
          <x:t xml:space="preserve">Not yet</x:t>
        </x:is>
      </x:c>
      <x:c r="G6" s="58" t="inlineStr">
        <x:is>
          <x:t xml:space="preserve">Day 60</x:t>
        </x:is>
      </x:c>
      <x:c r="H6" s="75">
        <x:f>ROUND(((COUNTIF(C5:C7,"Yes")+COUNTIF(C11:C13,"Yes")+COUNTIF(C17:C19,"Yes")+COUNTIF(C23:C25,"Yes")+COUNTIF(C29:C31,"Yes")+COUNTIF(C35:C37,"Yes")+0.5*(COUNTIF(C5:C7,"Partial")+COUNTIF(C11:C13,"Partial")+COUNTIF(C17:C19,"Partial")+COUNTIF(C23:C25,"Partial")+COUNTIF(C29:C31,"Partial")+COUNTIF(C35:C37,"Partial")))/18)*100,1)</x:f>
        <x:v>0</x:v>
      </x:c>
      <x:c r="I6" s="18" t="str">
        <x:f>IF(H6&gt;=80,"Strong",IF(H6&gt;=60,"Building","Needs Focus"))</x:f>
        <x:v>Needs Focus</x:v>
      </x:c>
      <x:c r="J6" s="18" t="str">
        <x:f>IF(I6="Strong","Stay on capstone + mocks",IF(I6="Building","Tighten weak domains","Revisit fundamentals and weekly execution"))</x:f>
        <x:v>Revisit fundamentals and weekly execution</x:v>
      </x:c>
    </x:row>
    <x:row r="7" s="11" customFormat="1" ht="28" customHeight="1">
      <x:c r="A7" s="31" t="inlineStr">
        <x:is>
          <x:t xml:space="preserve">Has a revision notebook of patterns</x:t>
        </x:is>
      </x:c>
      <x:c r="B7" s="44" t="inlineStr">
        <x:is>
          <x:t xml:space="preserve">Not yet</x:t>
        </x:is>
      </x:c>
      <x:c r="C7" s="44" t="inlineStr">
        <x:is>
          <x:t xml:space="preserve">Not yet</x:t>
        </x:is>
      </x:c>
      <x:c r="D7" s="44" t="inlineStr">
        <x:is>
          <x:t xml:space="preserve">Not yet</x:t>
        </x:is>
      </x:c>
      <x:c r="E7" s="44" t="inlineStr">
        <x:is>
          <x:t xml:space="preserve">Not yet</x:t>
        </x:is>
      </x:c>
      <x:c r="G7" s="58" t="inlineStr">
        <x:is>
          <x:t xml:space="preserve">Day 90</x:t>
        </x:is>
      </x:c>
      <x:c r="H7" s="75">
        <x:f>ROUND(((COUNTIF(D5:D7,"Yes")+COUNTIF(D11:D13,"Yes")+COUNTIF(D17:D19,"Yes")+COUNTIF(D23:D25,"Yes")+COUNTIF(D29:D31,"Yes")+COUNTIF(D35:D37,"Yes")+0.5*(COUNTIF(D5:D7,"Partial")+COUNTIF(D11:D13,"Partial")+COUNTIF(D17:D19,"Partial")+COUNTIF(D23:D25,"Partial")+COUNTIF(D29:D31,"Partial")+COUNTIF(D35:D37,"Partial")))/18)*100,1)</x:f>
        <x:v>0</x:v>
      </x:c>
      <x:c r="I7" s="18" t="str">
        <x:f>IF(H7&gt;=80,"Strong",IF(H7&gt;=60,"Building","Needs Focus"))</x:f>
        <x:v>Needs Focus</x:v>
      </x:c>
      <x:c r="J7" s="18" t="str">
        <x:f>IF(I7="Strong","Stay on capstone + mocks",IF(I7="Building","Tighten weak domains","Revisit fundamentals and weekly execution"))</x:f>
        <x:v>Revisit fundamentals and weekly execution</x:v>
      </x:c>
    </x:row>
    <x:row r="8" s="11" customFormat="1" ht="28" customHeight="1">
      <x:c r="A8" s="7" t="n"/>
      <x:c r="B8" s="7" t="n"/>
      <x:c r="C8" s="7" t="n"/>
      <x:c r="D8" s="7" t="n"/>
      <x:c r="E8" s="7" t="n"/>
      <x:c r="G8" s="58" t="inlineStr">
        <x:is>
          <x:t xml:space="preserve">Day 120</x:t>
        </x:is>
      </x:c>
      <x:c r="H8" s="75">
        <x:f>ROUND(((COUNTIF(E5:E7,"Yes")+COUNTIF(E11:E13,"Yes")+COUNTIF(E17:E19,"Yes")+COUNTIF(E23:E25,"Yes")+COUNTIF(E29:E31,"Yes")+COUNTIF(E35:E37,"Yes")+0.5*(COUNTIF(E5:E7,"Partial")+COUNTIF(E11:E13,"Partial")+COUNTIF(E17:E19,"Partial")+COUNTIF(E23:E25,"Partial")+COUNTIF(E29:E31,"Partial")+COUNTIF(E35:E37,"Partial")))/18)*100,1)</x:f>
        <x:v>0</x:v>
      </x:c>
      <x:c r="I8" s="18" t="str">
        <x:f>IF(H8&gt;=80,"Strong",IF(H8&gt;=60,"Building","Needs Focus"))</x:f>
        <x:v>Needs Focus</x:v>
      </x:c>
      <x:c r="J8" s="18" t="str">
        <x:f>IF(I8="Strong","Stay on capstone + mocks",IF(I8="Building","Tighten weak domains","Revisit fundamentals and weekly execution"))</x:f>
        <x:v>Revisit fundamentals and weekly execution</x:v>
      </x:c>
    </x:row>
    <x:row r="9" s="11" customFormat="1" ht="28" customHeight="1">
      <x:c r="A9" s="15" t="inlineStr">
        <x:is>
          <x:t xml:space="preserve">Java / Backend</x:t>
        </x:is>
      </x:c>
      <x:c r="B9" s="61" t="n"/>
      <x:c r="C9" s="61" t="n"/>
      <x:c r="D9" s="61" t="n"/>
      <x:c r="E9" s="62" t="n"/>
      <x:c r="G9" s="77" t="n"/>
      <x:c r="H9" s="77" t="n"/>
      <x:c r="I9" s="77" t="n"/>
      <x:c r="J9" s="77" t="n"/>
    </x:row>
    <x:row r="10" s="11" customFormat="1" ht="28" customHeight="1">
      <x:c r="A10" s="27" t="inlineStr">
        <x:is>
          <x:t xml:space="preserve">Item</x:t>
        </x:is>
      </x:c>
      <x:c r="B10" s="27" t="inlineStr">
        <x:is>
          <x:t xml:space="preserve">Day 30</x:t>
        </x:is>
      </x:c>
      <x:c r="C10" s="27" t="inlineStr">
        <x:is>
          <x:t xml:space="preserve">Day 60</x:t>
        </x:is>
      </x:c>
      <x:c r="D10" s="27" t="inlineStr">
        <x:is>
          <x:t xml:space="preserve">Day 90</x:t>
        </x:is>
      </x:c>
      <x:c r="E10" s="27" t="inlineStr">
        <x:is>
          <x:t xml:space="preserve">Day 120</x:t>
        </x:is>
      </x:c>
      <x:c r="G10" s="77" t="n"/>
      <x:c r="H10" s="77" t="n"/>
      <x:c r="I10" s="77" t="n"/>
      <x:c r="J10" s="77" t="n"/>
    </x:row>
    <x:row r="11" s="11" customFormat="1" ht="28" customHeight="1">
      <x:c r="A11" s="31" t="inlineStr">
        <x:is>
          <x:t xml:space="preserve">Can explain JVM, GC, collections, concurrency</x:t>
        </x:is>
      </x:c>
      <x:c r="B11" s="44" t="inlineStr">
        <x:is>
          <x:t xml:space="preserve">Not yet</x:t>
        </x:is>
      </x:c>
      <x:c r="C11" s="44" t="inlineStr">
        <x:is>
          <x:t xml:space="preserve">Not yet</x:t>
        </x:is>
      </x:c>
      <x:c r="D11" s="44" t="inlineStr">
        <x:is>
          <x:t xml:space="preserve">Not yet</x:t>
        </x:is>
      </x:c>
      <x:c r="E11" s="44" t="inlineStr">
        <x:is>
          <x:t xml:space="preserve">Not yet</x:t>
        </x:is>
      </x:c>
      <x:c r="G11" s="77" t="n"/>
      <x:c r="H11" s="77" t="n"/>
      <x:c r="I11" s="77" t="n"/>
      <x:c r="J11" s="77" t="n"/>
    </x:row>
    <x:row r="12" s="11" customFormat="1" ht="28" customHeight="1">
      <x:c r="A12" s="31" t="inlineStr">
        <x:is>
          <x:t xml:space="preserve">Can build Spring Boot APIs with tests and DB</x:t>
        </x:is>
      </x:c>
      <x:c r="B12" s="44" t="inlineStr">
        <x:is>
          <x:t xml:space="preserve">Not yet</x:t>
        </x:is>
      </x:c>
      <x:c r="C12" s="44" t="inlineStr">
        <x:is>
          <x:t xml:space="preserve">Not yet</x:t>
        </x:is>
      </x:c>
      <x:c r="D12" s="44" t="inlineStr">
        <x:is>
          <x:t xml:space="preserve">Not yet</x:t>
        </x:is>
      </x:c>
      <x:c r="E12" s="44" t="inlineStr">
        <x:is>
          <x:t xml:space="preserve">Not yet</x:t>
        </x:is>
      </x:c>
      <x:c r="G12" s="77" t="n"/>
      <x:c r="H12" s="77" t="n"/>
      <x:c r="I12" s="77" t="n"/>
      <x:c r="J12" s="77" t="n"/>
    </x:row>
    <x:row r="13" s="11" customFormat="1" ht="28" customHeight="1">
      <x:c r="A13" s="31" t="inlineStr">
        <x:is>
          <x:t xml:space="preserve">Can design and defend microservice boundaries</x:t>
        </x:is>
      </x:c>
      <x:c r="B13" s="44" t="inlineStr">
        <x:is>
          <x:t xml:space="preserve">Not yet</x:t>
        </x:is>
      </x:c>
      <x:c r="C13" s="44" t="inlineStr">
        <x:is>
          <x:t xml:space="preserve">Not yet</x:t>
        </x:is>
      </x:c>
      <x:c r="D13" s="44" t="inlineStr">
        <x:is>
          <x:t xml:space="preserve">Not yet</x:t>
        </x:is>
      </x:c>
      <x:c r="E13" s="44" t="inlineStr">
        <x:is>
          <x:t xml:space="preserve">Not yet</x:t>
        </x:is>
      </x:c>
      <x:c r="G13" s="77" t="n"/>
      <x:c r="H13" s="77" t="n"/>
      <x:c r="I13" s="77" t="n"/>
      <x:c r="J13" s="77" t="n"/>
    </x:row>
    <x:row r="14" s="11" customFormat="1" ht="28" customHeight="1">
      <x:c r="A14" s="7" t="n"/>
      <x:c r="B14" s="7" t="n"/>
      <x:c r="C14" s="7" t="n"/>
      <x:c r="D14" s="7" t="n"/>
      <x:c r="E14" s="7" t="n"/>
      <x:c r="G14" s="77" t="n"/>
      <x:c r="H14" s="77" t="n"/>
      <x:c r="I14" s="77" t="n"/>
      <x:c r="J14" s="77" t="n"/>
    </x:row>
    <x:row r="15" s="11" customFormat="1" ht="28" customHeight="1">
      <x:c r="A15" s="15" t="inlineStr">
        <x:is>
          <x:t xml:space="preserve">AWS / DevOps</x:t>
        </x:is>
      </x:c>
      <x:c r="B15" s="61" t="n"/>
      <x:c r="C15" s="61" t="n"/>
      <x:c r="D15" s="61" t="n"/>
      <x:c r="E15" s="62" t="n"/>
      <x:c r="G15" s="77" t="n"/>
      <x:c r="H15" s="77" t="n"/>
      <x:c r="I15" s="77" t="n"/>
      <x:c r="J15" s="77" t="n"/>
    </x:row>
    <x:row r="16" s="11" customFormat="1" ht="28" customHeight="1">
      <x:c r="A16" s="27" t="inlineStr">
        <x:is>
          <x:t xml:space="preserve">Item</x:t>
        </x:is>
      </x:c>
      <x:c r="B16" s="27" t="inlineStr">
        <x:is>
          <x:t xml:space="preserve">Day 30</x:t>
        </x:is>
      </x:c>
      <x:c r="C16" s="27" t="inlineStr">
        <x:is>
          <x:t xml:space="preserve">Day 60</x:t>
        </x:is>
      </x:c>
      <x:c r="D16" s="27" t="inlineStr">
        <x:is>
          <x:t xml:space="preserve">Day 90</x:t>
        </x:is>
      </x:c>
      <x:c r="E16" s="27" t="inlineStr">
        <x:is>
          <x:t xml:space="preserve">Day 120</x:t>
        </x:is>
      </x:c>
      <x:c r="G16" s="77" t="n"/>
      <x:c r="H16" s="77" t="n"/>
      <x:c r="I16" s="77" t="n"/>
      <x:c r="J16" s="77" t="n"/>
    </x:row>
    <x:row r="17" s="11" customFormat="1" ht="28" customHeight="1">
      <x:c r="A17" s="31" t="inlineStr">
        <x:is>
          <x:t xml:space="preserve">Can deploy app on EC2 / Lambda / ECS</x:t>
        </x:is>
      </x:c>
      <x:c r="B17" s="44" t="inlineStr">
        <x:is>
          <x:t xml:space="preserve">Not yet</x:t>
        </x:is>
      </x:c>
      <x:c r="C17" s="44" t="inlineStr">
        <x:is>
          <x:t xml:space="preserve">Not yet</x:t>
        </x:is>
      </x:c>
      <x:c r="D17" s="44" t="inlineStr">
        <x:is>
          <x:t xml:space="preserve">Not yet</x:t>
        </x:is>
      </x:c>
      <x:c r="E17" s="44" t="inlineStr">
        <x:is>
          <x:t xml:space="preserve">Not yet</x:t>
        </x:is>
      </x:c>
      <x:c r="G17" s="77" t="n"/>
      <x:c r="H17" s="77" t="n"/>
      <x:c r="I17" s="77" t="n"/>
      <x:c r="J17" s="77" t="n"/>
    </x:row>
    <x:row r="18" s="11" customFormat="1" ht="28" customHeight="1">
      <x:c r="A18" s="31" t="inlineStr">
        <x:is>
          <x:t xml:space="preserve">Can explain VPC, IAM, storage, database choices</x:t>
        </x:is>
      </x:c>
      <x:c r="B18" s="44" t="inlineStr">
        <x:is>
          <x:t xml:space="preserve">Not yet</x:t>
        </x:is>
      </x:c>
      <x:c r="C18" s="44" t="inlineStr">
        <x:is>
          <x:t xml:space="preserve">Not yet</x:t>
        </x:is>
      </x:c>
      <x:c r="D18" s="44" t="inlineStr">
        <x:is>
          <x:t xml:space="preserve">Not yet</x:t>
        </x:is>
      </x:c>
      <x:c r="E18" s="44" t="inlineStr">
        <x:is>
          <x:t xml:space="preserve">Not yet</x:t>
        </x:is>
      </x:c>
      <x:c r="G18" s="77" t="n"/>
      <x:c r="H18" s="77" t="n"/>
      <x:c r="I18" s="77" t="n"/>
      <x:c r="J18" s="77" t="n"/>
    </x:row>
    <x:row r="19" s="11" customFormat="1" ht="28" customHeight="1">
      <x:c r="A19" s="31" t="inlineStr">
        <x:is>
          <x:t xml:space="preserve">Has CI/CD and IaC basics working</x:t>
        </x:is>
      </x:c>
      <x:c r="B19" s="44" t="inlineStr">
        <x:is>
          <x:t xml:space="preserve">Not yet</x:t>
        </x:is>
      </x:c>
      <x:c r="C19" s="44" t="inlineStr">
        <x:is>
          <x:t xml:space="preserve">Not yet</x:t>
        </x:is>
      </x:c>
      <x:c r="D19" s="44" t="inlineStr">
        <x:is>
          <x:t xml:space="preserve">Not yet</x:t>
        </x:is>
      </x:c>
      <x:c r="E19" s="44" t="inlineStr">
        <x:is>
          <x:t xml:space="preserve">Not yet</x:t>
        </x:is>
      </x:c>
      <x:c r="G19" s="77" t="n"/>
      <x:c r="H19" s="77" t="n"/>
      <x:c r="I19" s="77" t="n"/>
      <x:c r="J19" s="77" t="n"/>
    </x:row>
    <x:row r="20" s="11" customFormat="1" ht="28" customHeight="1">
      <x:c r="A20" s="7" t="n"/>
      <x:c r="B20" s="7" t="n"/>
      <x:c r="C20" s="7" t="n"/>
      <x:c r="D20" s="7" t="n"/>
      <x:c r="E20" s="7" t="n"/>
      <x:c r="G20" s="77" t="n"/>
      <x:c r="H20" s="77" t="n"/>
      <x:c r="I20" s="77" t="n"/>
      <x:c r="J20" s="77" t="n"/>
    </x:row>
    <x:row r="21" s="11" customFormat="1" ht="28" customHeight="1">
      <x:c r="A21" s="15" t="inlineStr">
        <x:is>
          <x:t xml:space="preserve">React / Frontend</x:t>
        </x:is>
      </x:c>
      <x:c r="B21" s="61" t="n"/>
      <x:c r="C21" s="61" t="n"/>
      <x:c r="D21" s="61" t="n"/>
      <x:c r="E21" s="62" t="n"/>
      <x:c r="G21" s="77" t="n"/>
      <x:c r="H21" s="77" t="n"/>
      <x:c r="I21" s="77" t="n"/>
      <x:c r="J21" s="77" t="n"/>
    </x:row>
    <x:row r="22" s="11" customFormat="1" ht="28" customHeight="1">
      <x:c r="A22" s="27" t="inlineStr">
        <x:is>
          <x:t xml:space="preserve">Item</x:t>
        </x:is>
      </x:c>
      <x:c r="B22" s="27" t="inlineStr">
        <x:is>
          <x:t xml:space="preserve">Day 30</x:t>
        </x:is>
      </x:c>
      <x:c r="C22" s="27" t="inlineStr">
        <x:is>
          <x:t xml:space="preserve">Day 60</x:t>
        </x:is>
      </x:c>
      <x:c r="D22" s="27" t="inlineStr">
        <x:is>
          <x:t xml:space="preserve">Day 90</x:t>
        </x:is>
      </x:c>
      <x:c r="E22" s="27" t="inlineStr">
        <x:is>
          <x:t xml:space="preserve">Day 120</x:t>
        </x:is>
      </x:c>
      <x:c r="G22" s="77" t="n"/>
      <x:c r="H22" s="77" t="n"/>
      <x:c r="I22" s="77" t="n"/>
      <x:c r="J22" s="77" t="n"/>
    </x:row>
    <x:row r="23" s="11" customFormat="1" ht="28" customHeight="1">
      <x:c r="A23" s="31" t="inlineStr">
        <x:is>
          <x:t xml:space="preserve">Can build routed, stateful, API-driven UI</x:t>
        </x:is>
      </x:c>
      <x:c r="B23" s="44" t="inlineStr">
        <x:is>
          <x:t xml:space="preserve">Not yet</x:t>
        </x:is>
      </x:c>
      <x:c r="C23" s="44" t="inlineStr">
        <x:is>
          <x:t xml:space="preserve">Not yet</x:t>
        </x:is>
      </x:c>
      <x:c r="D23" s="44" t="inlineStr">
        <x:is>
          <x:t xml:space="preserve">Not yet</x:t>
        </x:is>
      </x:c>
      <x:c r="E23" s="44" t="inlineStr">
        <x:is>
          <x:t xml:space="preserve">Not yet</x:t>
        </x:is>
      </x:c>
      <x:c r="G23" s="77" t="n"/>
      <x:c r="H23" s="77" t="n"/>
      <x:c r="I23" s="77" t="n"/>
      <x:c r="J23" s="77" t="n"/>
    </x:row>
    <x:row r="24" s="11" customFormat="1" ht="28" customHeight="1">
      <x:c r="A24" s="31" t="inlineStr">
        <x:is>
          <x:t xml:space="preserve">Can optimize rendering and test core flows</x:t>
        </x:is>
      </x:c>
      <x:c r="B24" s="44" t="inlineStr">
        <x:is>
          <x:t xml:space="preserve">Not yet</x:t>
        </x:is>
      </x:c>
      <x:c r="C24" s="44" t="inlineStr">
        <x:is>
          <x:t xml:space="preserve">Not yet</x:t>
        </x:is>
      </x:c>
      <x:c r="D24" s="44" t="inlineStr">
        <x:is>
          <x:t xml:space="preserve">Not yet</x:t>
        </x:is>
      </x:c>
      <x:c r="E24" s="44" t="inlineStr">
        <x:is>
          <x:t xml:space="preserve">Not yet</x:t>
        </x:is>
      </x:c>
      <x:c r="G24" s="77" t="n"/>
      <x:c r="H24" s="77" t="n"/>
      <x:c r="I24" s="77" t="n"/>
      <x:c r="J24" s="77" t="n"/>
    </x:row>
    <x:row r="25" s="11" customFormat="1" ht="28" customHeight="1">
      <x:c r="A25" s="31" t="inlineStr">
        <x:is>
          <x:t xml:space="preserve">Can discuss frontend architecture trade-offs</x:t>
        </x:is>
      </x:c>
      <x:c r="B25" s="44" t="inlineStr">
        <x:is>
          <x:t xml:space="preserve">Not yet</x:t>
        </x:is>
      </x:c>
      <x:c r="C25" s="44" t="inlineStr">
        <x:is>
          <x:t xml:space="preserve">Not yet</x:t>
        </x:is>
      </x:c>
      <x:c r="D25" s="44" t="inlineStr">
        <x:is>
          <x:t xml:space="preserve">Not yet</x:t>
        </x:is>
      </x:c>
      <x:c r="E25" s="44" t="inlineStr">
        <x:is>
          <x:t xml:space="preserve">Not yet</x:t>
        </x:is>
      </x:c>
      <x:c r="G25" s="77" t="n"/>
      <x:c r="H25" s="77" t="n"/>
      <x:c r="I25" s="77" t="n"/>
      <x:c r="J25" s="77" t="n"/>
    </x:row>
    <x:row r="26" s="11" customFormat="1" ht="28" customHeight="1">
      <x:c r="A26" s="7" t="n"/>
      <x:c r="B26" s="7" t="n"/>
      <x:c r="C26" s="7" t="n"/>
      <x:c r="D26" s="7" t="n"/>
      <x:c r="E26" s="7" t="n"/>
      <x:c r="G26" s="77" t="n"/>
      <x:c r="H26" s="77" t="n"/>
      <x:c r="I26" s="77" t="n"/>
      <x:c r="J26" s="77" t="n"/>
    </x:row>
    <x:row r="27" s="11" customFormat="1" ht="28" customHeight="1">
      <x:c r="A27" s="15" t="inlineStr">
        <x:is>
          <x:t xml:space="preserve">Architecture</x:t>
        </x:is>
      </x:c>
      <x:c r="B27" s="61" t="n"/>
      <x:c r="C27" s="61" t="n"/>
      <x:c r="D27" s="61" t="n"/>
      <x:c r="E27" s="62" t="n"/>
      <x:c r="G27" s="77" t="n"/>
      <x:c r="H27" s="77" t="n"/>
      <x:c r="I27" s="77" t="n"/>
      <x:c r="J27" s="77" t="n"/>
    </x:row>
    <x:row r="28" s="11" customFormat="1" ht="28" customHeight="1">
      <x:c r="A28" s="27" t="inlineStr">
        <x:is>
          <x:t xml:space="preserve">Item</x:t>
        </x:is>
      </x:c>
      <x:c r="B28" s="27" t="inlineStr">
        <x:is>
          <x:t xml:space="preserve">Day 30</x:t>
        </x:is>
      </x:c>
      <x:c r="C28" s="27" t="inlineStr">
        <x:is>
          <x:t xml:space="preserve">Day 60</x:t>
        </x:is>
      </x:c>
      <x:c r="D28" s="27" t="inlineStr">
        <x:is>
          <x:t xml:space="preserve">Day 90</x:t>
        </x:is>
      </x:c>
      <x:c r="E28" s="27" t="inlineStr">
        <x:is>
          <x:t xml:space="preserve">Day 120</x:t>
        </x:is>
      </x:c>
      <x:c r="G28" s="77" t="n"/>
      <x:c r="H28" s="77" t="n"/>
      <x:c r="I28" s="77" t="n"/>
      <x:c r="J28" s="77" t="n"/>
    </x:row>
    <x:row r="29" s="11" customFormat="1" ht="28" customHeight="1">
      <x:c r="A29" s="31" t="inlineStr">
        <x:is>
          <x:t xml:space="preserve">Can draw and explain end-to-end system design</x:t>
        </x:is>
      </x:c>
      <x:c r="B29" s="44" t="inlineStr">
        <x:is>
          <x:t xml:space="preserve">Not yet</x:t>
        </x:is>
      </x:c>
      <x:c r="C29" s="44" t="inlineStr">
        <x:is>
          <x:t xml:space="preserve">Not yet</x:t>
        </x:is>
      </x:c>
      <x:c r="D29" s="44" t="inlineStr">
        <x:is>
          <x:t xml:space="preserve">Not yet</x:t>
        </x:is>
      </x:c>
      <x:c r="E29" s="44" t="inlineStr">
        <x:is>
          <x:t xml:space="preserve">Not yet</x:t>
        </x:is>
      </x:c>
      <x:c r="G29" s="77" t="n"/>
      <x:c r="H29" s="77" t="n"/>
      <x:c r="I29" s="77" t="n"/>
      <x:c r="J29" s="77" t="n"/>
    </x:row>
    <x:row r="30" s="11" customFormat="1" ht="28" customHeight="1">
      <x:c r="A30" s="31" t="inlineStr">
        <x:is>
          <x:t xml:space="preserve">Can discuss security, reliability, performance, cost</x:t>
        </x:is>
      </x:c>
      <x:c r="B30" s="44" t="inlineStr">
        <x:is>
          <x:t xml:space="preserve">Not yet</x:t>
        </x:is>
      </x:c>
      <x:c r="C30" s="44" t="inlineStr">
        <x:is>
          <x:t xml:space="preserve">Not yet</x:t>
        </x:is>
      </x:c>
      <x:c r="D30" s="44" t="inlineStr">
        <x:is>
          <x:t xml:space="preserve">Not yet</x:t>
        </x:is>
      </x:c>
      <x:c r="E30" s="44" t="inlineStr">
        <x:is>
          <x:t xml:space="preserve">Not yet</x:t>
        </x:is>
      </x:c>
      <x:c r="G30" s="77" t="n"/>
      <x:c r="H30" s="77" t="n"/>
      <x:c r="I30" s="77" t="n"/>
      <x:c r="J30" s="77" t="n"/>
    </x:row>
    <x:row r="31" s="11" customFormat="1" ht="28" customHeight="1">
      <x:c r="A31" s="31" t="inlineStr">
        <x:is>
          <x:t xml:space="preserve">Can present trade-offs to technical and non-technical stakeholders</x:t>
        </x:is>
      </x:c>
      <x:c r="B31" s="44" t="inlineStr">
        <x:is>
          <x:t xml:space="preserve">Not yet</x:t>
        </x:is>
      </x:c>
      <x:c r="C31" s="44" t="inlineStr">
        <x:is>
          <x:t xml:space="preserve">Not yet</x:t>
        </x:is>
      </x:c>
      <x:c r="D31" s="44" t="inlineStr">
        <x:is>
          <x:t xml:space="preserve">Not yet</x:t>
        </x:is>
      </x:c>
      <x:c r="E31" s="44" t="inlineStr">
        <x:is>
          <x:t xml:space="preserve">Not yet</x:t>
        </x:is>
      </x:c>
      <x:c r="G31" s="77" t="n"/>
      <x:c r="H31" s="77" t="n"/>
      <x:c r="I31" s="77" t="n"/>
      <x:c r="J31" s="77" t="n"/>
    </x:row>
    <x:row r="32" s="11" customFormat="1" ht="28" customHeight="1">
      <x:c r="A32" s="7" t="n"/>
      <x:c r="B32" s="7" t="n"/>
      <x:c r="C32" s="7" t="n"/>
      <x:c r="D32" s="7" t="n"/>
      <x:c r="E32" s="7" t="n"/>
      <x:c r="G32" s="77" t="n"/>
      <x:c r="H32" s="77" t="n"/>
      <x:c r="I32" s="77" t="n"/>
      <x:c r="J32" s="77" t="n"/>
    </x:row>
    <x:row r="33" s="11" customFormat="1" ht="28" customHeight="1">
      <x:c r="A33" s="15" t="inlineStr">
        <x:is>
          <x:t xml:space="preserve">GenAI</x:t>
        </x:is>
      </x:c>
      <x:c r="B33" s="61" t="n"/>
      <x:c r="C33" s="61" t="n"/>
      <x:c r="D33" s="61" t="n"/>
      <x:c r="E33" s="62" t="n"/>
      <x:c r="G33" s="77" t="n"/>
      <x:c r="H33" s="77" t="n"/>
      <x:c r="I33" s="77" t="n"/>
      <x:c r="J33" s="77" t="n"/>
    </x:row>
    <x:row r="34" s="11" customFormat="1" ht="28" customHeight="1">
      <x:c r="A34" s="27" t="inlineStr">
        <x:is>
          <x:t xml:space="preserve">Item</x:t>
        </x:is>
      </x:c>
      <x:c r="B34" s="27" t="inlineStr">
        <x:is>
          <x:t xml:space="preserve">Day 30</x:t>
        </x:is>
      </x:c>
      <x:c r="C34" s="27" t="inlineStr">
        <x:is>
          <x:t xml:space="preserve">Day 60</x:t>
        </x:is>
      </x:c>
      <x:c r="D34" s="27" t="inlineStr">
        <x:is>
          <x:t xml:space="preserve">Day 90</x:t>
        </x:is>
      </x:c>
      <x:c r="E34" s="27" t="inlineStr">
        <x:is>
          <x:t xml:space="preserve">Day 120</x:t>
        </x:is>
      </x:c>
      <x:c r="G34" s="77" t="n"/>
      <x:c r="H34" s="77" t="n"/>
      <x:c r="I34" s="77" t="n"/>
      <x:c r="J34" s="77" t="n"/>
    </x:row>
    <x:row r="35" s="11" customFormat="1" ht="28" customHeight="1">
      <x:c r="A35" s="31" t="inlineStr">
        <x:is>
          <x:t xml:space="preserve">Can integrate an LLM API</x:t>
        </x:is>
      </x:c>
      <x:c r="B35" s="44" t="inlineStr">
        <x:is>
          <x:t xml:space="preserve">Not yet</x:t>
        </x:is>
      </x:c>
      <x:c r="C35" s="44" t="inlineStr">
        <x:is>
          <x:t xml:space="preserve">Not yet</x:t>
        </x:is>
      </x:c>
      <x:c r="D35" s="44" t="inlineStr">
        <x:is>
          <x:t xml:space="preserve">Not yet</x:t>
        </x:is>
      </x:c>
      <x:c r="E35" s="44" t="inlineStr">
        <x:is>
          <x:t xml:space="preserve">Not yet</x:t>
        </x:is>
      </x:c>
      <x:c r="G35" s="77" t="n"/>
      <x:c r="H35" s="77" t="n"/>
      <x:c r="I35" s="77" t="n"/>
      <x:c r="J35" s="77" t="n"/>
    </x:row>
    <x:row r="36" s="11" customFormat="1" ht="28" customHeight="1">
      <x:c r="A36" s="31" t="inlineStr">
        <x:is>
          <x:t xml:space="preserve">Can explain RAG pipeline components</x:t>
        </x:is>
      </x:c>
      <x:c r="B36" s="44" t="inlineStr">
        <x:is>
          <x:t xml:space="preserve">Not yet</x:t>
        </x:is>
      </x:c>
      <x:c r="C36" s="44" t="inlineStr">
        <x:is>
          <x:t xml:space="preserve">Not yet</x:t>
        </x:is>
      </x:c>
      <x:c r="D36" s="44" t="inlineStr">
        <x:is>
          <x:t xml:space="preserve">Not yet</x:t>
        </x:is>
      </x:c>
      <x:c r="E36" s="44" t="inlineStr">
        <x:is>
          <x:t xml:space="preserve">Not yet</x:t>
        </x:is>
      </x:c>
      <x:c r="G36" s="77" t="n"/>
      <x:c r="H36" s="77" t="n"/>
      <x:c r="I36" s="77" t="n"/>
      <x:c r="J36" s="77" t="n"/>
    </x:row>
    <x:row r="37" s="11" customFormat="1" ht="28" customHeight="1">
      <x:c r="A37" s="31" t="inlineStr">
        <x:is>
          <x:t xml:space="preserve">Can discuss guardrails, evaluation, latency, and cost</x:t>
        </x:is>
      </x:c>
      <x:c r="B37" s="44" t="inlineStr">
        <x:is>
          <x:t xml:space="preserve">Not yet</x:t>
        </x:is>
      </x:c>
      <x:c r="C37" s="44" t="inlineStr">
        <x:is>
          <x:t xml:space="preserve">Not yet</x:t>
        </x:is>
      </x:c>
      <x:c r="D37" s="44" t="inlineStr">
        <x:is>
          <x:t xml:space="preserve">Not yet</x:t>
        </x:is>
      </x:c>
      <x:c r="E37" s="44" t="inlineStr">
        <x:is>
          <x:t xml:space="preserve">Not yet</x:t>
        </x:is>
      </x:c>
      <x:c r="G37" s="77" t="n"/>
      <x:c r="H37" s="77" t="n"/>
      <x:c r="I37" s="77" t="n"/>
      <x:c r="J37" s="77" t="n"/>
    </x:row>
    <x:row r="38" s="11" customFormat="1" ht="28" customHeight="1"/>
    <x:row r="39" s="11" customFormat="1" ht="28" customHeight="1"/>
  </x:sheetData>
  <x:mergeCells>
    <x:mergeCell ref="A21:E21"/>
    <x:mergeCell ref="G3:J3"/>
    <x:mergeCell ref="A15:E15"/>
    <x:mergeCell ref="A33:E33"/>
    <x:mergeCell ref="A1:E1"/>
    <x:mergeCell ref="A9:E9"/>
    <x:mergeCell ref="A27:E27"/>
    <x:mergeCell ref="A3:E3"/>
  </x:mergeCells>
  <x:conditionalFormatting sqref="H5:H8">
    <x:cfRule type="colorScale" priority="1">
      <x:colorScale>
        <x:cfvo type="num" val="0"/>
        <x:cfvo type="num" val="70"/>
        <x:cfvo type="num" val="100"/>
        <x:color rgb="00F8696B"/>
        <x:color rgb="00FFEB84"/>
        <x:color rgb="0063BE7B"/>
      </x:colorScale>
    </x:cfRule>
  </x:conditionalFormatting>
  <x:dataValidations count="1">
    <x:dataValidation type="list" allowBlank="1" showDropDown="0" showInputMessage="0" showErrorMessage="0" sqref="B5:B7 B11:B13 B17:B19 B23:B25 B29:B31 B35:B37 C5:C7 C11:C13 C17:C19 C23:C25 C29:C31 C35:C37 D5:D7 D11:D13 D17:D19 D23:D25 D29:D31 D35:D37 E5:E7 E11:E13 E17:E19 E23:E25 E29:E31 E35:E37">
      <x:formula1>=Lists!$E$1:$E$3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4.5"/>
  <x:cols>
    <x:col min="1" max="1" width="34" style="11" customWidth="1"/>
    <x:col min="2" max="2" width="70" style="11" customWidth="1"/>
    <x:col min="3" max="3" width="50" style="11" customWidth="1"/>
  </x:cols>
  <x:sheetData>
    <x:row r="1" s="11" customFormat="1" ht="18.5" customHeight="1">
      <x:c r="A1" s="59" t="inlineStr">
        <x:is>
          <x:t xml:space="preserve">Official reference sources used to shape the roadmap</x:t>
        </x:is>
      </x:c>
      <x:c r="B1" s="61" t="n"/>
      <x:c r="C1" s="62" t="n"/>
    </x:row>
    <x:row r="2">
      <x:c r="A2" s="60" t="inlineStr">
        <x:is>
          <x:t xml:space="preserve">Source</x:t>
        </x:is>
      </x:c>
      <x:c r="B2" s="60" t="inlineStr">
        <x:is>
          <x:t xml:space="preserve">URL</x:t>
        </x:is>
      </x:c>
      <x:c r="C2" s="60" t="inlineStr">
        <x:is>
          <x:t xml:space="preserve">Why it matters</x:t>
        </x:is>
      </x:c>
    </x:row>
    <x:row r="3" s="11" customFormat="1" ht="29" customHeight="1">
      <x:c r="A3" s="31" t="inlineStr">
        <x:is>
          <x:t xml:space="preserve">AWS Well-Architected Framework</x:t>
        </x:is>
      </x:c>
      <x:c r="B3" s="31" t="inlineStr">
        <x:is>
          <x:t xml:space="preserve">https://docs.aws.amazon.com/wellarchitected/latest/framework/welcome.html</x:t>
        </x:is>
      </x:c>
      <x:c r="C3" s="31" t="inlineStr">
        <x:is>
          <x:t xml:space="preserve">Architect roadmap anchored on operational excellence, security, reliability, performance efficiency, cost optimization, and sustainability.</x:t>
        </x:is>
      </x:c>
    </x:row>
    <x:row r="4" s="11" customFormat="1" ht="29" customHeight="1">
      <x:c r="A4" s="31" t="inlineStr">
        <x:is>
          <x:t xml:space="preserve">AWS Well-Architected Pillars</x:t>
        </x:is>
      </x:c>
      <x:c r="B4" s="31" t="inlineStr">
        <x:is>
          <x:t xml:space="preserve">https://docs.aws.amazon.com/wellarchitected/latest/framework/the-pillars-of-the-framework.html</x:t>
        </x:is>
      </x:c>
      <x:c r="C4" s="31" t="inlineStr">
        <x:is>
          <x:t xml:space="preserve">Ensures missing architect topics are included instead of focusing only on coding.</x:t>
        </x:is>
      </x:c>
    </x:row>
    <x:row r="5" s="11" customFormat="1" ht="29" customHeight="1">
      <x:c r="A5" s="31" t="inlineStr">
        <x:is>
          <x:t xml:space="preserve">AWS Solutions Architect Associate</x:t>
        </x:is>
      </x:c>
      <x:c r="B5" s="31" t="inlineStr">
        <x:is>
          <x:t xml:space="preserve">https://docs.aws.amazon.com/aws-certification/latest/solutions-architect-associate-03/solutions-architect-associate-03.html</x:t>
        </x:is>
      </x:c>
      <x:c r="C5" s="31" t="inlineStr">
        <x:is>
          <x:t xml:space="preserve">Keeps the AWS/cloud track aligned to a practical solutions-architect skill profile.</x:t>
        </x:is>
      </x:c>
    </x:row>
    <x:row r="6">
      <x:c r="A6" s="31" t="inlineStr">
        <x:is>
          <x:t xml:space="preserve">React Learn</x:t>
        </x:is>
      </x:c>
      <x:c r="B6" s="31" t="inlineStr">
        <x:is>
          <x:t xml:space="preserve">https://react.dev/learn</x:t>
        </x:is>
      </x:c>
      <x:c r="C6" s="31" t="inlineStr">
        <x:is>
          <x:t xml:space="preserve">Keeps React track grounded in modern component + Hooks-first learning path.</x:t>
        </x:is>
      </x:c>
    </x:row>
    <x:row r="7">
      <x:c r="A7" s="31" t="inlineStr">
        <x:is>
          <x:t xml:space="preserve">React Reference</x:t>
        </x:is>
      </x:c>
      <x:c r="B7" s="31" t="inlineStr">
        <x:is>
          <x:t xml:space="preserve">https://react.dev/reference/react</x:t>
        </x:is>
      </x:c>
      <x:c r="C7" s="31" t="inlineStr">
        <x:is>
          <x:t xml:space="preserve">Useful for deeper API review while progressing toward frontend architecture.</x:t>
        </x:is>
      </x:c>
    </x:row>
    <x:row r="8" s="11" customFormat="1" ht="29" customHeight="1">
      <x:c r="A8" s="31" t="inlineStr">
        <x:is>
          <x:t xml:space="preserve">Oracle JDK 21 Docs</x:t>
        </x:is>
      </x:c>
      <x:c r="B8" s="31" t="inlineStr">
        <x:is>
          <x:t xml:space="preserve">https://docs.oracle.com/en/java/javase/21/</x:t>
        </x:is>
      </x:c>
      <x:c r="C8" s="31" t="inlineStr">
        <x:is>
          <x:t xml:space="preserve">Supports the modern Java track, especially JVM, concurrency, and platform capabilities.</x:t>
        </x:is>
      </x:c>
    </x:row>
    <x:row r="9">
      <x:c r="A9" s="31" t="inlineStr">
        <x:is>
          <x:t xml:space="preserve">Oracle Java 21 Virtual Threads</x:t>
        </x:is>
      </x:c>
      <x:c r="B9" s="31" t="inlineStr">
        <x:is>
          <x:t xml:space="preserve">https://docs.oracle.com/en/java/javase/21/core/virtual-threads.html</x:t>
        </x:is>
      </x:c>
      <x:c r="C9" s="31" t="inlineStr">
        <x:is>
          <x:t xml:space="preserve">Important for future-facing concurrency knowledge in architect discussions.</x:t>
        </x:is>
      </x:c>
    </x:row>
  </x:sheetData>
  <x:mergeCells>
    <x:mergeCell ref="A1:C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Not Started</x:t>
        </x:is>
      </x:c>
      <x:c r="B1" t="n">
        <x:v>1</x:v>
      </x:c>
      <x:c r="C1" t="inlineStr">
        <x:is>
          <x:t xml:space="preserve">Critical</x:t>
        </x:is>
      </x:c>
      <x:c r="D1" t="inlineStr">
        <x:is>
          <x:t xml:space="preserve">Yes</x:t>
        </x:is>
      </x:c>
      <x:c r="E1" t="inlineStr">
        <x:is>
          <x:t xml:space="preserve">Not yet</x:t>
        </x:is>
      </x:c>
      <x:c r="F1" t="inlineStr">
        <x:is>
          <x:t xml:space="preserve">Understand</x:t>
        </x:is>
      </x:c>
    </x:row>
    <x:row r="2">
      <x:c r="A2" t="inlineStr">
        <x:is>
          <x:t xml:space="preserve">In Progress</x:t>
        </x:is>
      </x:c>
      <x:c r="B2" t="n">
        <x:v>2</x:v>
      </x:c>
      <x:c r="C2" t="inlineStr">
        <x:is>
          <x:t xml:space="preserve">High</x:t>
        </x:is>
      </x:c>
      <x:c r="D2" t="inlineStr">
        <x:is>
          <x:t xml:space="preserve">No</x:t>
        </x:is>
      </x:c>
      <x:c r="E2" t="inlineStr">
        <x:is>
          <x:t xml:space="preserve">Partial</x:t>
        </x:is>
      </x:c>
      <x:c r="F2" t="inlineStr">
        <x:is>
          <x:t xml:space="preserve">Implement</x:t>
        </x:is>
      </x:c>
    </x:row>
    <x:row r="3">
      <x:c r="A3" t="inlineStr">
        <x:is>
          <x:t xml:space="preserve">Review</x:t>
        </x:is>
      </x:c>
      <x:c r="B3" t="n">
        <x:v>3</x:v>
      </x:c>
      <x:c r="C3" t="inlineStr">
        <x:is>
          <x:t xml:space="preserve">Medium</x:t>
        </x:is>
      </x:c>
      <x:c r="D3" t="inlineStr">
        <x:is>
          <x:t xml:space="preserve">Later</x:t>
        </x:is>
      </x:c>
      <x:c r="E3" t="inlineStr">
        <x:is>
          <x:t xml:space="preserve">Yes</x:t>
        </x:is>
      </x:c>
      <x:c r="F3" t="inlineStr">
        <x:is>
          <x:t xml:space="preserve">Explain</x:t>
        </x:is>
      </x:c>
    </x:row>
    <x:row r="4">
      <x:c r="A4" t="inlineStr">
        <x:is>
          <x:t xml:space="preserve">Done</x:t>
        </x:is>
      </x:c>
      <x:c r="B4" t="n">
        <x:v>4</x:v>
      </x:c>
      <x:c r="C4" t="inlineStr">
        <x:is>
          <x:t xml:space="preserve">Support</x:t>
        </x:is>
      </x:c>
      <x:c r="F4" t="inlineStr">
        <x:is>
          <x:t xml:space="preserve">Design</x:t>
        </x:is>
      </x:c>
    </x:row>
    <x:row r="5">
      <x:c r="A5" t="inlineStr">
        <x:is>
          <x:t xml:space="preserve">Blocked</x:t>
        </x:is>
      </x:c>
      <x:c r="B5" t="n">
        <x:v>5</x:v>
      </x:c>
      <x:c r="C5" t="inlineStr">
        <x:is>
          <x:t xml:space="preserve">Optional</x:t>
        </x:is>
      </x:c>
      <x:c r="F5" t="inlineStr">
        <x:is>
          <x:t xml:space="preserve">Solve + Explain</x:t>
        </x:is>
      </x:c>
    </x:row>
    <x:row r="6">
      <x:c r="A6" t="inlineStr">
        <x:is>
          <x:t xml:space="preserve">Skipped</x:t>
        </x:is>
      </x:c>
      <x:c r="F6" t="inlineStr">
        <x:is>
          <x:t xml:space="preserve">Implement + Explain</x:t>
        </x:is>
      </x:c>
    </x:row>
    <x:row r="7">
      <x:c r="F7" t="inlineStr">
        <x:is>
          <x:t xml:space="preserve">Explain + Design</x:t>
        </x:is>
      </x:c>
    </x:row>
  </x:sheetData>
  <x:pageMargins left="0.7" right="0.7" top="0.75" bottom="0.75" header="0.3" footer="0.3"/>
</x:worksheet>
</file>